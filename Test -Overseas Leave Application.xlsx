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C:\Users\kjtay\Desktop\"/>
    </mc:Choice>
  </mc:AlternateContent>
  <xr:revisionPtr revIDLastSave="0" documentId="13_ncr:1_{F07459CD-5FC6-403A-BC11-132E8CE724FF}" xr6:coauthVersionLast="47" xr6:coauthVersionMax="47" xr10:uidLastSave="{00000000-0000-0000-0000-000000000000}"/>
  <bookViews>
    <workbookView xWindow="1884" yWindow="1884" windowWidth="17280" windowHeight="8880" activeTab="2" xr2:uid="{00000000-000D-0000-FFFF-FFFF00000000}"/>
  </bookViews>
  <sheets>
    <sheet name="2025" sheetId="1" r:id="rId1"/>
    <sheet name="Ops" sheetId="11" r:id="rId2"/>
    <sheet name="Daily Slots" sheetId="10" r:id="rId3"/>
    <sheet name="Code" sheetId="2" r:id="rId4"/>
    <sheet name="Output" sheetId="1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10" l="1"/>
  <c r="C23" i="10" s="1"/>
  <c r="D23" i="10" s="1"/>
  <c r="B24" i="10"/>
  <c r="C24" i="10" s="1"/>
  <c r="D24" i="10" s="1"/>
  <c r="B25" i="10"/>
  <c r="C25" i="10" s="1"/>
  <c r="D25" i="10" s="1"/>
  <c r="B26" i="10"/>
  <c r="C26" i="10" s="1"/>
  <c r="D26" i="10" s="1"/>
  <c r="B27" i="10"/>
  <c r="C27" i="10" s="1"/>
  <c r="D27" i="10" s="1"/>
  <c r="B28" i="10"/>
  <c r="C28" i="10" s="1"/>
  <c r="D28" i="10" s="1"/>
  <c r="B29" i="10"/>
  <c r="C29" i="10" s="1"/>
  <c r="D29" i="10" s="1"/>
  <c r="B30" i="10"/>
  <c r="C30" i="10" s="1"/>
  <c r="D30" i="10" s="1"/>
  <c r="B31" i="10"/>
  <c r="C31" i="10" s="1"/>
  <c r="D31" i="10" s="1"/>
  <c r="B32" i="10"/>
  <c r="C32" i="10" s="1"/>
  <c r="D32" i="10" s="1"/>
  <c r="B33" i="10"/>
  <c r="C33" i="10" s="1"/>
  <c r="D33" i="10" s="1"/>
  <c r="B34" i="10"/>
  <c r="C34" i="10" s="1"/>
  <c r="D34" i="10" s="1"/>
  <c r="B35" i="10"/>
  <c r="C35" i="10" s="1"/>
  <c r="D35" i="10" s="1"/>
  <c r="B36" i="10"/>
  <c r="C36" i="10" s="1"/>
  <c r="D36" i="10" s="1"/>
  <c r="B37" i="10"/>
  <c r="C37" i="10" s="1"/>
  <c r="D37" i="10" s="1"/>
  <c r="B38" i="10"/>
  <c r="C38" i="10" s="1"/>
  <c r="D38" i="10" s="1"/>
  <c r="B39" i="10"/>
  <c r="C39" i="10" s="1"/>
  <c r="D39" i="10" s="1"/>
  <c r="B40" i="10"/>
  <c r="C40" i="10" s="1"/>
  <c r="D40" i="10" s="1"/>
  <c r="B41" i="10"/>
  <c r="C41" i="10" s="1"/>
  <c r="D41" i="10" s="1"/>
  <c r="B42" i="10"/>
  <c r="C42" i="10" s="1"/>
  <c r="D42" i="10" s="1"/>
  <c r="B43" i="10"/>
  <c r="C43" i="10" s="1"/>
  <c r="D43" i="10" s="1"/>
  <c r="B44" i="10"/>
  <c r="C44" i="10" s="1"/>
  <c r="D44" i="10" s="1"/>
  <c r="B45" i="10"/>
  <c r="C45" i="10" s="1"/>
  <c r="D45" i="10" s="1"/>
  <c r="B46" i="10"/>
  <c r="C46" i="10" s="1"/>
  <c r="D46" i="10" s="1"/>
  <c r="B47" i="10"/>
  <c r="C47" i="10" s="1"/>
  <c r="D47" i="10" s="1"/>
  <c r="B48" i="10"/>
  <c r="C48" i="10" s="1"/>
  <c r="D48" i="10" s="1"/>
  <c r="B49" i="10"/>
  <c r="C49" i="10" s="1"/>
  <c r="D49" i="10" s="1"/>
  <c r="B50" i="10"/>
  <c r="C50" i="10" s="1"/>
  <c r="D50" i="10" s="1"/>
  <c r="B51" i="10"/>
  <c r="C51" i="10" s="1"/>
  <c r="D51" i="10" s="1"/>
  <c r="B52" i="10"/>
  <c r="C52" i="10" s="1"/>
  <c r="D52" i="10" s="1"/>
  <c r="B53" i="10"/>
  <c r="C53" i="10" s="1"/>
  <c r="D53" i="10" s="1"/>
  <c r="B54" i="10"/>
  <c r="C54" i="10" s="1"/>
  <c r="D54" i="10" s="1"/>
  <c r="B55" i="10"/>
  <c r="C55" i="10" s="1"/>
  <c r="D55" i="10" s="1"/>
  <c r="B56" i="10"/>
  <c r="C56" i="10" s="1"/>
  <c r="D56" i="10" s="1"/>
  <c r="B57" i="10"/>
  <c r="C57" i="10" s="1"/>
  <c r="D57" i="10" s="1"/>
  <c r="B58" i="10"/>
  <c r="C58" i="10" s="1"/>
  <c r="D58" i="10" s="1"/>
  <c r="B59" i="10"/>
  <c r="C59" i="10" s="1"/>
  <c r="D59" i="10" s="1"/>
  <c r="B60" i="10"/>
  <c r="C60" i="10" s="1"/>
  <c r="D60" i="10" s="1"/>
  <c r="B61" i="10"/>
  <c r="C61" i="10" s="1"/>
  <c r="D61" i="10" s="1"/>
  <c r="B62" i="10"/>
  <c r="C62" i="10" s="1"/>
  <c r="D62" i="10" s="1"/>
  <c r="B63" i="10"/>
  <c r="C63" i="10" s="1"/>
  <c r="D63" i="10" s="1"/>
  <c r="B64" i="10"/>
  <c r="C64" i="10" s="1"/>
  <c r="D64" i="10" s="1"/>
  <c r="B65" i="10"/>
  <c r="C65" i="10" s="1"/>
  <c r="D65" i="10" s="1"/>
  <c r="B66" i="10"/>
  <c r="C66" i="10" s="1"/>
  <c r="D66" i="10" s="1"/>
  <c r="B67" i="10"/>
  <c r="C67" i="10" s="1"/>
  <c r="D67" i="10" s="1"/>
  <c r="B68" i="10"/>
  <c r="C68" i="10" s="1"/>
  <c r="D68" i="10" s="1"/>
  <c r="B69" i="10"/>
  <c r="C69" i="10" s="1"/>
  <c r="D69" i="10" s="1"/>
  <c r="B70" i="10"/>
  <c r="C70" i="10" s="1"/>
  <c r="D70" i="10" s="1"/>
  <c r="B71" i="10"/>
  <c r="C71" i="10" s="1"/>
  <c r="D71" i="10" s="1"/>
  <c r="B72" i="10"/>
  <c r="C72" i="10" s="1"/>
  <c r="D72" i="10" s="1"/>
  <c r="B73" i="10"/>
  <c r="C73" i="10" s="1"/>
  <c r="D73" i="10" s="1"/>
  <c r="B74" i="10"/>
  <c r="C74" i="10" s="1"/>
  <c r="D74" i="10" s="1"/>
  <c r="B75" i="10"/>
  <c r="C75" i="10" s="1"/>
  <c r="D75" i="10" s="1"/>
  <c r="B76" i="10"/>
  <c r="C76" i="10" s="1"/>
  <c r="D76" i="10" s="1"/>
  <c r="B77" i="10"/>
  <c r="C77" i="10" s="1"/>
  <c r="D77" i="10" s="1"/>
  <c r="B78" i="10"/>
  <c r="C78" i="10" s="1"/>
  <c r="D78" i="10" s="1"/>
  <c r="B79" i="10"/>
  <c r="C79" i="10" s="1"/>
  <c r="D79" i="10" s="1"/>
  <c r="B80" i="10"/>
  <c r="C80" i="10" s="1"/>
  <c r="D80" i="10" s="1"/>
  <c r="B81" i="10"/>
  <c r="C81" i="10" s="1"/>
  <c r="D81" i="10" s="1"/>
  <c r="B82" i="10"/>
  <c r="C82" i="10" s="1"/>
  <c r="D82" i="10" s="1"/>
  <c r="B83" i="10"/>
  <c r="C83" i="10" s="1"/>
  <c r="D83" i="10" s="1"/>
  <c r="B84" i="10"/>
  <c r="C84" i="10" s="1"/>
  <c r="D84" i="10" s="1"/>
  <c r="B85" i="10"/>
  <c r="C85" i="10" s="1"/>
  <c r="D85" i="10" s="1"/>
  <c r="B86" i="10"/>
  <c r="C86" i="10" s="1"/>
  <c r="D86" i="10" s="1"/>
  <c r="B87" i="10"/>
  <c r="C87" i="10" s="1"/>
  <c r="D87" i="10" s="1"/>
  <c r="B88" i="10"/>
  <c r="C88" i="10" s="1"/>
  <c r="D88" i="10" s="1"/>
  <c r="B89" i="10"/>
  <c r="C89" i="10" s="1"/>
  <c r="D89" i="10" s="1"/>
  <c r="B90" i="10"/>
  <c r="C90" i="10" s="1"/>
  <c r="D90" i="10" s="1"/>
  <c r="B91" i="10"/>
  <c r="C91" i="10" s="1"/>
  <c r="D91" i="10" s="1"/>
  <c r="B92" i="10"/>
  <c r="C92" i="10" s="1"/>
  <c r="D92" i="10" s="1"/>
  <c r="B93" i="10"/>
  <c r="C93" i="10" s="1"/>
  <c r="D93" i="10" s="1"/>
  <c r="B94" i="10"/>
  <c r="C94" i="10" s="1"/>
  <c r="D94" i="10" s="1"/>
  <c r="B95" i="10"/>
  <c r="C95" i="10" s="1"/>
  <c r="D95" i="10" s="1"/>
  <c r="B96" i="10"/>
  <c r="C96" i="10" s="1"/>
  <c r="D96" i="10" s="1"/>
  <c r="B97" i="10"/>
  <c r="C97" i="10" s="1"/>
  <c r="D97" i="10" s="1"/>
  <c r="B98" i="10"/>
  <c r="C98" i="10" s="1"/>
  <c r="D98" i="10" s="1"/>
  <c r="B99" i="10"/>
  <c r="C99" i="10" s="1"/>
  <c r="D99" i="10" s="1"/>
  <c r="B100" i="10"/>
  <c r="C100" i="10" s="1"/>
  <c r="D100" i="10" s="1"/>
  <c r="B101" i="10"/>
  <c r="C101" i="10" s="1"/>
  <c r="D101" i="10" s="1"/>
  <c r="B102" i="10"/>
  <c r="C102" i="10" s="1"/>
  <c r="D102" i="10" s="1"/>
  <c r="B103" i="10"/>
  <c r="C103" i="10" s="1"/>
  <c r="D103" i="10" s="1"/>
  <c r="B104" i="10"/>
  <c r="C104" i="10" s="1"/>
  <c r="D104" i="10" s="1"/>
  <c r="B105" i="10"/>
  <c r="C105" i="10" s="1"/>
  <c r="D105" i="10" s="1"/>
  <c r="B106" i="10"/>
  <c r="C106" i="10" s="1"/>
  <c r="D106" i="10" s="1"/>
  <c r="B107" i="10"/>
  <c r="C107" i="10" s="1"/>
  <c r="D107" i="10" s="1"/>
  <c r="B108" i="10"/>
  <c r="C108" i="10" s="1"/>
  <c r="D108" i="10" s="1"/>
  <c r="B109" i="10"/>
  <c r="C109" i="10" s="1"/>
  <c r="D109" i="10" s="1"/>
  <c r="B110" i="10"/>
  <c r="C110" i="10" s="1"/>
  <c r="D110" i="10" s="1"/>
  <c r="B111" i="10"/>
  <c r="C111" i="10" s="1"/>
  <c r="D111" i="10" s="1"/>
  <c r="B112" i="10"/>
  <c r="C112" i="10" s="1"/>
  <c r="D112" i="10" s="1"/>
  <c r="B113" i="10"/>
  <c r="C113" i="10" s="1"/>
  <c r="D113" i="10" s="1"/>
  <c r="B114" i="10"/>
  <c r="C114" i="10" s="1"/>
  <c r="D114" i="10" s="1"/>
  <c r="B115" i="10"/>
  <c r="C115" i="10" s="1"/>
  <c r="D115" i="10" s="1"/>
  <c r="B116" i="10"/>
  <c r="C116" i="10" s="1"/>
  <c r="D116" i="10" s="1"/>
  <c r="B117" i="10"/>
  <c r="C117" i="10" s="1"/>
  <c r="D117" i="10" s="1"/>
  <c r="B118" i="10"/>
  <c r="C118" i="10" s="1"/>
  <c r="D118" i="10" s="1"/>
  <c r="B119" i="10"/>
  <c r="C119" i="10" s="1"/>
  <c r="D119" i="10" s="1"/>
  <c r="B120" i="10"/>
  <c r="C120" i="10" s="1"/>
  <c r="D120" i="10" s="1"/>
  <c r="B121" i="10"/>
  <c r="C121" i="10" s="1"/>
  <c r="D121" i="10" s="1"/>
  <c r="B122" i="10"/>
  <c r="C122" i="10" s="1"/>
  <c r="D122" i="10" s="1"/>
  <c r="B123" i="10"/>
  <c r="C123" i="10" s="1"/>
  <c r="D123" i="10" s="1"/>
  <c r="B124" i="10"/>
  <c r="C124" i="10" s="1"/>
  <c r="D124" i="10" s="1"/>
  <c r="B125" i="10"/>
  <c r="C125" i="10" s="1"/>
  <c r="D125" i="10" s="1"/>
  <c r="B126" i="10"/>
  <c r="C126" i="10" s="1"/>
  <c r="D126" i="10" s="1"/>
  <c r="B127" i="10"/>
  <c r="C127" i="10" s="1"/>
  <c r="D127" i="10" s="1"/>
  <c r="B128" i="10"/>
  <c r="C128" i="10" s="1"/>
  <c r="D128" i="10" s="1"/>
  <c r="B129" i="10"/>
  <c r="C129" i="10" s="1"/>
  <c r="D129" i="10" s="1"/>
  <c r="B130" i="10"/>
  <c r="C130" i="10" s="1"/>
  <c r="D130" i="10" s="1"/>
  <c r="B131" i="10"/>
  <c r="C131" i="10" s="1"/>
  <c r="D131" i="10" s="1"/>
  <c r="B132" i="10"/>
  <c r="C132" i="10" s="1"/>
  <c r="D132" i="10" s="1"/>
  <c r="B133" i="10"/>
  <c r="C133" i="10" s="1"/>
  <c r="D133" i="10" s="1"/>
  <c r="B134" i="10"/>
  <c r="C134" i="10" s="1"/>
  <c r="D134" i="10" s="1"/>
  <c r="B135" i="10"/>
  <c r="C135" i="10" s="1"/>
  <c r="D135" i="10" s="1"/>
  <c r="B136" i="10"/>
  <c r="C136" i="10" s="1"/>
  <c r="D136" i="10" s="1"/>
  <c r="B137" i="10"/>
  <c r="C137" i="10" s="1"/>
  <c r="D137" i="10" s="1"/>
  <c r="B138" i="10"/>
  <c r="C138" i="10" s="1"/>
  <c r="D138" i="10" s="1"/>
  <c r="B139" i="10"/>
  <c r="C139" i="10" s="1"/>
  <c r="D139" i="10" s="1"/>
  <c r="B140" i="10"/>
  <c r="C140" i="10" s="1"/>
  <c r="D140" i="10" s="1"/>
  <c r="B141" i="10"/>
  <c r="C141" i="10" s="1"/>
  <c r="D141" i="10" s="1"/>
  <c r="B142" i="10"/>
  <c r="C142" i="10" s="1"/>
  <c r="D142" i="10" s="1"/>
  <c r="B143" i="10"/>
  <c r="C143" i="10" s="1"/>
  <c r="D143" i="10" s="1"/>
  <c r="B144" i="10"/>
  <c r="C144" i="10" s="1"/>
  <c r="D144" i="10" s="1"/>
  <c r="B145" i="10"/>
  <c r="C145" i="10" s="1"/>
  <c r="D145" i="10" s="1"/>
  <c r="B146" i="10"/>
  <c r="C146" i="10" s="1"/>
  <c r="D146" i="10" s="1"/>
  <c r="B147" i="10"/>
  <c r="C147" i="10" s="1"/>
  <c r="D147" i="10" s="1"/>
  <c r="B148" i="10"/>
  <c r="C148" i="10" s="1"/>
  <c r="D148" i="10" s="1"/>
  <c r="B149" i="10"/>
  <c r="C149" i="10" s="1"/>
  <c r="D149" i="10" s="1"/>
  <c r="B150" i="10"/>
  <c r="C150" i="10" s="1"/>
  <c r="D150" i="10" s="1"/>
  <c r="B151" i="10"/>
  <c r="C151" i="10" s="1"/>
  <c r="D151" i="10" s="1"/>
  <c r="B152" i="10"/>
  <c r="C152" i="10" s="1"/>
  <c r="D152" i="10" s="1"/>
  <c r="B153" i="10"/>
  <c r="C153" i="10" s="1"/>
  <c r="D153" i="10" s="1"/>
  <c r="B154" i="10"/>
  <c r="C154" i="10" s="1"/>
  <c r="D154" i="10" s="1"/>
  <c r="B155" i="10"/>
  <c r="C155" i="10" s="1"/>
  <c r="D155" i="10" s="1"/>
  <c r="B156" i="10"/>
  <c r="C156" i="10" s="1"/>
  <c r="D156" i="10" s="1"/>
  <c r="B157" i="10"/>
  <c r="C157" i="10" s="1"/>
  <c r="D157" i="10" s="1"/>
  <c r="B158" i="10"/>
  <c r="C158" i="10" s="1"/>
  <c r="D158" i="10" s="1"/>
  <c r="B159" i="10"/>
  <c r="C159" i="10" s="1"/>
  <c r="D159" i="10" s="1"/>
  <c r="B160" i="10"/>
  <c r="C160" i="10" s="1"/>
  <c r="D160" i="10" s="1"/>
  <c r="B161" i="10"/>
  <c r="C161" i="10" s="1"/>
  <c r="D161" i="10" s="1"/>
  <c r="B162" i="10"/>
  <c r="C162" i="10" s="1"/>
  <c r="D162" i="10" s="1"/>
  <c r="B163" i="10"/>
  <c r="C163" i="10" s="1"/>
  <c r="D163" i="10" s="1"/>
  <c r="B164" i="10"/>
  <c r="C164" i="10" s="1"/>
  <c r="D164" i="10" s="1"/>
  <c r="B165" i="10"/>
  <c r="C165" i="10" s="1"/>
  <c r="D165" i="10" s="1"/>
  <c r="B166" i="10"/>
  <c r="C166" i="10" s="1"/>
  <c r="D166" i="10" s="1"/>
  <c r="B167" i="10"/>
  <c r="C167" i="10" s="1"/>
  <c r="D167" i="10" s="1"/>
  <c r="B168" i="10"/>
  <c r="C168" i="10" s="1"/>
  <c r="D168" i="10" s="1"/>
  <c r="B169" i="10"/>
  <c r="C169" i="10" s="1"/>
  <c r="D169" i="10" s="1"/>
  <c r="B170" i="10"/>
  <c r="C170" i="10" s="1"/>
  <c r="D170" i="10" s="1"/>
  <c r="B171" i="10"/>
  <c r="C171" i="10" s="1"/>
  <c r="D171" i="10" s="1"/>
  <c r="B172" i="10"/>
  <c r="C172" i="10" s="1"/>
  <c r="D172" i="10" s="1"/>
  <c r="B173" i="10"/>
  <c r="C173" i="10" s="1"/>
  <c r="D173" i="10" s="1"/>
  <c r="B174" i="10"/>
  <c r="C174" i="10" s="1"/>
  <c r="D174" i="10" s="1"/>
  <c r="B175" i="10"/>
  <c r="C175" i="10" s="1"/>
  <c r="D175" i="10" s="1"/>
  <c r="B176" i="10"/>
  <c r="C176" i="10" s="1"/>
  <c r="D176" i="10" s="1"/>
  <c r="B177" i="10"/>
  <c r="C177" i="10" s="1"/>
  <c r="D177" i="10" s="1"/>
  <c r="B178" i="10"/>
  <c r="C178" i="10" s="1"/>
  <c r="D178" i="10" s="1"/>
  <c r="B179" i="10"/>
  <c r="C179" i="10" s="1"/>
  <c r="D179" i="10" s="1"/>
  <c r="B180" i="10"/>
  <c r="C180" i="10" s="1"/>
  <c r="D180" i="10" s="1"/>
  <c r="B181" i="10"/>
  <c r="C181" i="10" s="1"/>
  <c r="D181" i="10" s="1"/>
  <c r="B182" i="10"/>
  <c r="C182" i="10" s="1"/>
  <c r="D182" i="10" s="1"/>
  <c r="B183" i="10"/>
  <c r="C183" i="10" s="1"/>
  <c r="D183" i="10" s="1"/>
  <c r="B184" i="10"/>
  <c r="C184" i="10" s="1"/>
  <c r="D184" i="10" s="1"/>
  <c r="B185" i="10"/>
  <c r="C185" i="10" s="1"/>
  <c r="D185" i="10" s="1"/>
  <c r="B186" i="10"/>
  <c r="C186" i="10" s="1"/>
  <c r="D186" i="10" s="1"/>
  <c r="B187" i="10"/>
  <c r="C187" i="10" s="1"/>
  <c r="D187" i="10" s="1"/>
  <c r="B188" i="10"/>
  <c r="C188" i="10" s="1"/>
  <c r="D188" i="10" s="1"/>
  <c r="B189" i="10"/>
  <c r="C189" i="10" s="1"/>
  <c r="D189" i="10" s="1"/>
  <c r="B190" i="10"/>
  <c r="C190" i="10" s="1"/>
  <c r="D190" i="10" s="1"/>
  <c r="B191" i="10"/>
  <c r="C191" i="10" s="1"/>
  <c r="D191" i="10" s="1"/>
  <c r="B192" i="10"/>
  <c r="C192" i="10" s="1"/>
  <c r="D192" i="10" s="1"/>
  <c r="B193" i="10"/>
  <c r="C193" i="10" s="1"/>
  <c r="D193" i="10" s="1"/>
  <c r="B194" i="10"/>
  <c r="C194" i="10" s="1"/>
  <c r="D194" i="10" s="1"/>
  <c r="B195" i="10"/>
  <c r="C195" i="10" s="1"/>
  <c r="D195" i="10" s="1"/>
  <c r="B196" i="10"/>
  <c r="C196" i="10" s="1"/>
  <c r="D196" i="10" s="1"/>
  <c r="B197" i="10"/>
  <c r="C197" i="10" s="1"/>
  <c r="D197" i="10" s="1"/>
  <c r="B198" i="10"/>
  <c r="C198" i="10" s="1"/>
  <c r="D198" i="10" s="1"/>
  <c r="B199" i="10"/>
  <c r="C199" i="10" s="1"/>
  <c r="D199" i="10" s="1"/>
  <c r="B200" i="10"/>
  <c r="C200" i="10" s="1"/>
  <c r="D200" i="10" s="1"/>
  <c r="B201" i="10"/>
  <c r="C201" i="10" s="1"/>
  <c r="D201" i="10" s="1"/>
  <c r="B202" i="10"/>
  <c r="C202" i="10" s="1"/>
  <c r="D202" i="10" s="1"/>
  <c r="B203" i="10"/>
  <c r="C203" i="10" s="1"/>
  <c r="D203" i="10" s="1"/>
  <c r="B204" i="10"/>
  <c r="C204" i="10" s="1"/>
  <c r="D204" i="10" s="1"/>
  <c r="B205" i="10"/>
  <c r="C205" i="10" s="1"/>
  <c r="D205" i="10" s="1"/>
  <c r="B206" i="10"/>
  <c r="C206" i="10" s="1"/>
  <c r="D206" i="10" s="1"/>
  <c r="B207" i="10"/>
  <c r="C207" i="10" s="1"/>
  <c r="D207" i="10" s="1"/>
  <c r="B208" i="10"/>
  <c r="C208" i="10" s="1"/>
  <c r="D208" i="10" s="1"/>
  <c r="B209" i="10"/>
  <c r="C209" i="10" s="1"/>
  <c r="D209" i="10" s="1"/>
  <c r="B210" i="10"/>
  <c r="C210" i="10" s="1"/>
  <c r="D210" i="10" s="1"/>
  <c r="B211" i="10"/>
  <c r="C211" i="10" s="1"/>
  <c r="D211" i="10" s="1"/>
  <c r="B212" i="10"/>
  <c r="C212" i="10" s="1"/>
  <c r="D212" i="10" s="1"/>
  <c r="B213" i="10"/>
  <c r="C213" i="10" s="1"/>
  <c r="D213" i="10" s="1"/>
  <c r="B214" i="10"/>
  <c r="C214" i="10" s="1"/>
  <c r="D214" i="10" s="1"/>
  <c r="B215" i="10"/>
  <c r="C215" i="10" s="1"/>
  <c r="D215" i="10" s="1"/>
  <c r="B216" i="10"/>
  <c r="C216" i="10" s="1"/>
  <c r="D216" i="10" s="1"/>
  <c r="B217" i="10"/>
  <c r="C217" i="10" s="1"/>
  <c r="D217" i="10" s="1"/>
  <c r="B218" i="10"/>
  <c r="C218" i="10" s="1"/>
  <c r="D218" i="10" s="1"/>
  <c r="B219" i="10"/>
  <c r="C219" i="10" s="1"/>
  <c r="D219" i="10" s="1"/>
  <c r="B220" i="10"/>
  <c r="C220" i="10" s="1"/>
  <c r="D220" i="10" s="1"/>
  <c r="B221" i="10"/>
  <c r="C221" i="10" s="1"/>
  <c r="D221" i="10" s="1"/>
  <c r="B222" i="10"/>
  <c r="C222" i="10" s="1"/>
  <c r="D222" i="10" s="1"/>
  <c r="B223" i="10"/>
  <c r="C223" i="10" s="1"/>
  <c r="D223" i="10" s="1"/>
  <c r="B224" i="10"/>
  <c r="C224" i="10" s="1"/>
  <c r="D224" i="10" s="1"/>
  <c r="B225" i="10"/>
  <c r="C225" i="10" s="1"/>
  <c r="D225" i="10" s="1"/>
  <c r="B226" i="10"/>
  <c r="C226" i="10" s="1"/>
  <c r="D226" i="10" s="1"/>
  <c r="B227" i="10"/>
  <c r="C227" i="10" s="1"/>
  <c r="D227" i="10" s="1"/>
  <c r="B228" i="10"/>
  <c r="C228" i="10" s="1"/>
  <c r="D228" i="10" s="1"/>
  <c r="B229" i="10"/>
  <c r="C229" i="10" s="1"/>
  <c r="D229" i="10" s="1"/>
  <c r="B230" i="10"/>
  <c r="C230" i="10" s="1"/>
  <c r="D230" i="10" s="1"/>
  <c r="B231" i="10"/>
  <c r="C231" i="10" s="1"/>
  <c r="D231" i="10" s="1"/>
  <c r="B232" i="10"/>
  <c r="C232" i="10" s="1"/>
  <c r="D232" i="10" s="1"/>
  <c r="B233" i="10"/>
  <c r="C233" i="10" s="1"/>
  <c r="D233" i="10" s="1"/>
  <c r="B234" i="10"/>
  <c r="C234" i="10" s="1"/>
  <c r="D234" i="10" s="1"/>
  <c r="B235" i="10"/>
  <c r="C235" i="10" s="1"/>
  <c r="D235" i="10" s="1"/>
  <c r="B236" i="10"/>
  <c r="C236" i="10" s="1"/>
  <c r="D236" i="10" s="1"/>
  <c r="B237" i="10"/>
  <c r="C237" i="10" s="1"/>
  <c r="D237" i="10" s="1"/>
  <c r="B238" i="10"/>
  <c r="C238" i="10" s="1"/>
  <c r="D238" i="10" s="1"/>
  <c r="B239" i="10"/>
  <c r="C239" i="10" s="1"/>
  <c r="D239" i="10" s="1"/>
  <c r="B240" i="10"/>
  <c r="C240" i="10" s="1"/>
  <c r="D240" i="10" s="1"/>
  <c r="B241" i="10"/>
  <c r="C241" i="10" s="1"/>
  <c r="D241" i="10" s="1"/>
  <c r="B242" i="10"/>
  <c r="C242" i="10" s="1"/>
  <c r="D242" i="10" s="1"/>
  <c r="B243" i="10"/>
  <c r="C243" i="10" s="1"/>
  <c r="D243" i="10" s="1"/>
  <c r="B244" i="10"/>
  <c r="C244" i="10" s="1"/>
  <c r="D244" i="10" s="1"/>
  <c r="B245" i="10"/>
  <c r="C245" i="10" s="1"/>
  <c r="D245" i="10" s="1"/>
  <c r="B246" i="10"/>
  <c r="C246" i="10" s="1"/>
  <c r="D246" i="10" s="1"/>
  <c r="B247" i="10"/>
  <c r="C247" i="10" s="1"/>
  <c r="D247" i="10" s="1"/>
  <c r="B248" i="10"/>
  <c r="C248" i="10" s="1"/>
  <c r="D248" i="10" s="1"/>
  <c r="B249" i="10"/>
  <c r="C249" i="10" s="1"/>
  <c r="D249" i="10" s="1"/>
  <c r="B250" i="10"/>
  <c r="C250" i="10" s="1"/>
  <c r="D250" i="10" s="1"/>
  <c r="B251" i="10"/>
  <c r="C251" i="10" s="1"/>
  <c r="D251" i="10" s="1"/>
  <c r="B252" i="10"/>
  <c r="C252" i="10" s="1"/>
  <c r="D252" i="10" s="1"/>
  <c r="B253" i="10"/>
  <c r="C253" i="10" s="1"/>
  <c r="D253" i="10" s="1"/>
  <c r="B254" i="10"/>
  <c r="C254" i="10" s="1"/>
  <c r="D254" i="10" s="1"/>
  <c r="B255" i="10"/>
  <c r="C255" i="10" s="1"/>
  <c r="D255" i="10" s="1"/>
  <c r="B256" i="10"/>
  <c r="C256" i="10" s="1"/>
  <c r="D256" i="10" s="1"/>
  <c r="B257" i="10"/>
  <c r="C257" i="10" s="1"/>
  <c r="D257" i="10" s="1"/>
  <c r="B258" i="10"/>
  <c r="C258" i="10" s="1"/>
  <c r="D258" i="10" s="1"/>
  <c r="B259" i="10"/>
  <c r="C259" i="10" s="1"/>
  <c r="D259" i="10" s="1"/>
  <c r="B260" i="10"/>
  <c r="C260" i="10" s="1"/>
  <c r="D260" i="10" s="1"/>
  <c r="B261" i="10"/>
  <c r="C261" i="10" s="1"/>
  <c r="D261" i="10" s="1"/>
  <c r="B262" i="10"/>
  <c r="C262" i="10" s="1"/>
  <c r="D262" i="10" s="1"/>
  <c r="B263" i="10"/>
  <c r="C263" i="10" s="1"/>
  <c r="D263" i="10" s="1"/>
  <c r="B264" i="10"/>
  <c r="C264" i="10" s="1"/>
  <c r="D264" i="10" s="1"/>
  <c r="B265" i="10"/>
  <c r="C265" i="10" s="1"/>
  <c r="D265" i="10" s="1"/>
  <c r="B266" i="10"/>
  <c r="C266" i="10" s="1"/>
  <c r="D266" i="10" s="1"/>
  <c r="B267" i="10"/>
  <c r="C267" i="10" s="1"/>
  <c r="D267" i="10" s="1"/>
  <c r="B268" i="10"/>
  <c r="C268" i="10" s="1"/>
  <c r="D268" i="10" s="1"/>
  <c r="B269" i="10"/>
  <c r="C269" i="10" s="1"/>
  <c r="D269" i="10" s="1"/>
  <c r="B270" i="10"/>
  <c r="C270" i="10" s="1"/>
  <c r="D270" i="10" s="1"/>
  <c r="B271" i="10"/>
  <c r="C271" i="10" s="1"/>
  <c r="D271" i="10" s="1"/>
  <c r="B272" i="10"/>
  <c r="C272" i="10" s="1"/>
  <c r="D272" i="10" s="1"/>
  <c r="B273" i="10"/>
  <c r="C273" i="10" s="1"/>
  <c r="D273" i="10" s="1"/>
  <c r="B274" i="10"/>
  <c r="C274" i="10" s="1"/>
  <c r="D274" i="10" s="1"/>
  <c r="B275" i="10"/>
  <c r="C275" i="10" s="1"/>
  <c r="D275" i="10" s="1"/>
  <c r="B276" i="10"/>
  <c r="C276" i="10" s="1"/>
  <c r="D276" i="10" s="1"/>
  <c r="B277" i="10"/>
  <c r="C277" i="10" s="1"/>
  <c r="D277" i="10" s="1"/>
  <c r="B278" i="10"/>
  <c r="C278" i="10" s="1"/>
  <c r="D278" i="10" s="1"/>
  <c r="B279" i="10"/>
  <c r="C279" i="10" s="1"/>
  <c r="D279" i="10" s="1"/>
  <c r="B280" i="10"/>
  <c r="C280" i="10" s="1"/>
  <c r="D280" i="10" s="1"/>
  <c r="B281" i="10"/>
  <c r="C281" i="10" s="1"/>
  <c r="D281" i="10" s="1"/>
  <c r="B282" i="10"/>
  <c r="C282" i="10" s="1"/>
  <c r="D282" i="10" s="1"/>
  <c r="B283" i="10"/>
  <c r="C283" i="10" s="1"/>
  <c r="D283" i="10" s="1"/>
  <c r="B284" i="10"/>
  <c r="C284" i="10" s="1"/>
  <c r="D284" i="10" s="1"/>
  <c r="B285" i="10"/>
  <c r="C285" i="10" s="1"/>
  <c r="D285" i="10" s="1"/>
  <c r="B286" i="10"/>
  <c r="C286" i="10" s="1"/>
  <c r="D286" i="10" s="1"/>
  <c r="B287" i="10"/>
  <c r="C287" i="10" s="1"/>
  <c r="D287" i="10" s="1"/>
  <c r="B288" i="10"/>
  <c r="C288" i="10" s="1"/>
  <c r="D288" i="10" s="1"/>
  <c r="B289" i="10"/>
  <c r="C289" i="10" s="1"/>
  <c r="D289" i="10" s="1"/>
  <c r="B290" i="10"/>
  <c r="C290" i="10" s="1"/>
  <c r="D290" i="10" s="1"/>
  <c r="B291" i="10"/>
  <c r="C291" i="10" s="1"/>
  <c r="D291" i="10" s="1"/>
  <c r="B292" i="10"/>
  <c r="C292" i="10" s="1"/>
  <c r="D292" i="10" s="1"/>
  <c r="B293" i="10"/>
  <c r="C293" i="10" s="1"/>
  <c r="D293" i="10" s="1"/>
  <c r="B294" i="10"/>
  <c r="C294" i="10" s="1"/>
  <c r="D294" i="10" s="1"/>
  <c r="B295" i="10"/>
  <c r="C295" i="10" s="1"/>
  <c r="D295" i="10" s="1"/>
  <c r="B296" i="10"/>
  <c r="C296" i="10" s="1"/>
  <c r="D296" i="10" s="1"/>
  <c r="B297" i="10"/>
  <c r="C297" i="10" s="1"/>
  <c r="D297" i="10" s="1"/>
  <c r="B298" i="10"/>
  <c r="C298" i="10" s="1"/>
  <c r="D298" i="10" s="1"/>
  <c r="B299" i="10"/>
  <c r="C299" i="10" s="1"/>
  <c r="D299" i="10" s="1"/>
  <c r="B300" i="10"/>
  <c r="C300" i="10" s="1"/>
  <c r="D300" i="10" s="1"/>
  <c r="B301" i="10"/>
  <c r="C301" i="10" s="1"/>
  <c r="D301" i="10" s="1"/>
  <c r="B302" i="10"/>
  <c r="C302" i="10" s="1"/>
  <c r="D302" i="10" s="1"/>
  <c r="B303" i="10"/>
  <c r="C303" i="10" s="1"/>
  <c r="D303" i="10" s="1"/>
  <c r="B304" i="10"/>
  <c r="C304" i="10" s="1"/>
  <c r="D304" i="10" s="1"/>
  <c r="B305" i="10"/>
  <c r="C305" i="10" s="1"/>
  <c r="D305" i="10" s="1"/>
  <c r="B306" i="10"/>
  <c r="C306" i="10" s="1"/>
  <c r="D306" i="10" s="1"/>
  <c r="B307" i="10"/>
  <c r="C307" i="10" s="1"/>
  <c r="D307" i="10" s="1"/>
  <c r="B308" i="10"/>
  <c r="C308" i="10" s="1"/>
  <c r="D308" i="10" s="1"/>
  <c r="B309" i="10"/>
  <c r="C309" i="10" s="1"/>
  <c r="D309" i="10" s="1"/>
  <c r="B310" i="10"/>
  <c r="C310" i="10" s="1"/>
  <c r="D310" i="10" s="1"/>
  <c r="B311" i="10"/>
  <c r="C311" i="10" s="1"/>
  <c r="D311" i="10" s="1"/>
  <c r="B312" i="10"/>
  <c r="C312" i="10" s="1"/>
  <c r="D312" i="10" s="1"/>
  <c r="B313" i="10"/>
  <c r="C313" i="10" s="1"/>
  <c r="D313" i="10" s="1"/>
  <c r="B314" i="10"/>
  <c r="C314" i="10" s="1"/>
  <c r="D314" i="10" s="1"/>
  <c r="B315" i="10"/>
  <c r="C315" i="10" s="1"/>
  <c r="D315" i="10" s="1"/>
  <c r="B316" i="10"/>
  <c r="C316" i="10" s="1"/>
  <c r="D316" i="10" s="1"/>
  <c r="B317" i="10"/>
  <c r="C317" i="10" s="1"/>
  <c r="D317" i="10" s="1"/>
  <c r="B318" i="10"/>
  <c r="C318" i="10" s="1"/>
  <c r="D318" i="10" s="1"/>
  <c r="B319" i="10"/>
  <c r="C319" i="10" s="1"/>
  <c r="D319" i="10" s="1"/>
  <c r="B320" i="10"/>
  <c r="C320" i="10" s="1"/>
  <c r="D320" i="10" s="1"/>
  <c r="B321" i="10"/>
  <c r="C321" i="10" s="1"/>
  <c r="D321" i="10" s="1"/>
  <c r="B322" i="10"/>
  <c r="C322" i="10" s="1"/>
  <c r="D322" i="10" s="1"/>
  <c r="B323" i="10"/>
  <c r="C323" i="10" s="1"/>
  <c r="D323" i="10" s="1"/>
  <c r="B324" i="10"/>
  <c r="C324" i="10" s="1"/>
  <c r="D324" i="10" s="1"/>
  <c r="B325" i="10"/>
  <c r="C325" i="10" s="1"/>
  <c r="D325" i="10" s="1"/>
  <c r="B326" i="10"/>
  <c r="C326" i="10" s="1"/>
  <c r="D326" i="10" s="1"/>
  <c r="B327" i="10"/>
  <c r="C327" i="10" s="1"/>
  <c r="D327" i="10" s="1"/>
  <c r="B328" i="10"/>
  <c r="C328" i="10" s="1"/>
  <c r="D328" i="10" s="1"/>
  <c r="B329" i="10"/>
  <c r="C329" i="10" s="1"/>
  <c r="D329" i="10" s="1"/>
  <c r="B330" i="10"/>
  <c r="C330" i="10" s="1"/>
  <c r="D330" i="10" s="1"/>
  <c r="B331" i="10"/>
  <c r="C331" i="10" s="1"/>
  <c r="D331" i="10" s="1"/>
  <c r="B332" i="10"/>
  <c r="C332" i="10" s="1"/>
  <c r="D332" i="10" s="1"/>
  <c r="B333" i="10"/>
  <c r="C333" i="10" s="1"/>
  <c r="D333" i="10" s="1"/>
  <c r="B334" i="10"/>
  <c r="C334" i="10" s="1"/>
  <c r="D334" i="10" s="1"/>
  <c r="B335" i="10"/>
  <c r="C335" i="10" s="1"/>
  <c r="D335" i="10" s="1"/>
  <c r="B336" i="10"/>
  <c r="C336" i="10" s="1"/>
  <c r="D336" i="10" s="1"/>
  <c r="B337" i="10"/>
  <c r="C337" i="10" s="1"/>
  <c r="D337" i="10" s="1"/>
  <c r="B338" i="10"/>
  <c r="C338" i="10" s="1"/>
  <c r="D338" i="10" s="1"/>
  <c r="B339" i="10"/>
  <c r="C339" i="10" s="1"/>
  <c r="D339" i="10" s="1"/>
  <c r="B340" i="10"/>
  <c r="C340" i="10" s="1"/>
  <c r="D340" i="10" s="1"/>
  <c r="B341" i="10"/>
  <c r="C341" i="10" s="1"/>
  <c r="D341" i="10" s="1"/>
  <c r="B342" i="10"/>
  <c r="C342" i="10" s="1"/>
  <c r="D342" i="10" s="1"/>
  <c r="B343" i="10"/>
  <c r="C343" i="10" s="1"/>
  <c r="D343" i="10" s="1"/>
  <c r="B344" i="10"/>
  <c r="C344" i="10" s="1"/>
  <c r="D344" i="10" s="1"/>
  <c r="B345" i="10"/>
  <c r="C345" i="10" s="1"/>
  <c r="D345" i="10" s="1"/>
  <c r="B346" i="10"/>
  <c r="C346" i="10" s="1"/>
  <c r="D346" i="10" s="1"/>
  <c r="B347" i="10"/>
  <c r="C347" i="10" s="1"/>
  <c r="D347" i="10" s="1"/>
  <c r="B348" i="10"/>
  <c r="C348" i="10" s="1"/>
  <c r="D348" i="10" s="1"/>
  <c r="B349" i="10"/>
  <c r="C349" i="10" s="1"/>
  <c r="D349" i="10" s="1"/>
  <c r="B350" i="10"/>
  <c r="C350" i="10" s="1"/>
  <c r="D350" i="10" s="1"/>
  <c r="B351" i="10"/>
  <c r="C351" i="10" s="1"/>
  <c r="D351" i="10" s="1"/>
  <c r="B352" i="10"/>
  <c r="C352" i="10" s="1"/>
  <c r="D352" i="10" s="1"/>
  <c r="B353" i="10"/>
  <c r="C353" i="10" s="1"/>
  <c r="D353" i="10" s="1"/>
  <c r="B354" i="10"/>
  <c r="C354" i="10" s="1"/>
  <c r="D354" i="10" s="1"/>
  <c r="B355" i="10"/>
  <c r="C355" i="10" s="1"/>
  <c r="D355" i="10" s="1"/>
  <c r="B356" i="10"/>
  <c r="C356" i="10" s="1"/>
  <c r="D356" i="10" s="1"/>
  <c r="B357" i="10"/>
  <c r="C357" i="10" s="1"/>
  <c r="D357" i="10" s="1"/>
  <c r="B358" i="10"/>
  <c r="C358" i="10" s="1"/>
  <c r="D358" i="10" s="1"/>
  <c r="B359" i="10"/>
  <c r="C359" i="10" s="1"/>
  <c r="D359" i="10" s="1"/>
  <c r="B360" i="10"/>
  <c r="C360" i="10" s="1"/>
  <c r="D360" i="10" s="1"/>
  <c r="B361" i="10"/>
  <c r="C361" i="10" s="1"/>
  <c r="D361" i="10" s="1"/>
  <c r="B362" i="10"/>
  <c r="C362" i="10" s="1"/>
  <c r="D362" i="10" s="1"/>
  <c r="B363" i="10"/>
  <c r="C363" i="10" s="1"/>
  <c r="D363" i="10" s="1"/>
  <c r="B364" i="10"/>
  <c r="C364" i="10" s="1"/>
  <c r="D364" i="10" s="1"/>
  <c r="B365" i="10"/>
  <c r="C365" i="10" s="1"/>
  <c r="D365" i="10" s="1"/>
  <c r="B366" i="10"/>
  <c r="C366" i="10" s="1"/>
  <c r="D366" i="10" s="1"/>
  <c r="B367" i="10"/>
  <c r="C367" i="10" s="1"/>
  <c r="D367" i="10" s="1"/>
  <c r="B368" i="10"/>
  <c r="C368" i="10" s="1"/>
  <c r="D368" i="10" s="1"/>
  <c r="B3" i="10"/>
  <c r="C3" i="10" s="1"/>
  <c r="D3" i="10" s="1"/>
  <c r="E3" i="10" s="1" a="1"/>
  <c r="E3" i="10" s="1"/>
  <c r="B4" i="10"/>
  <c r="C4" i="10" s="1"/>
  <c r="D4" i="10" s="1"/>
  <c r="E4" i="10" s="1" a="1"/>
  <c r="E4" i="10" s="1"/>
  <c r="B5" i="10"/>
  <c r="C5" i="10" s="1"/>
  <c r="D5" i="10" s="1"/>
  <c r="E5" i="10" s="1" a="1"/>
  <c r="E5" i="10" s="1"/>
  <c r="B6" i="10"/>
  <c r="C6" i="10" s="1"/>
  <c r="D6" i="10" s="1"/>
  <c r="E6" i="10" s="1" a="1"/>
  <c r="E6" i="10" s="1"/>
  <c r="B7" i="10"/>
  <c r="C7" i="10" s="1"/>
  <c r="D7" i="10" s="1"/>
  <c r="E7" i="10" s="1" a="1"/>
  <c r="E7" i="10" s="1"/>
  <c r="B8" i="10"/>
  <c r="C8" i="10" s="1"/>
  <c r="D8" i="10" s="1"/>
  <c r="E8" i="10" s="1" a="1"/>
  <c r="E8" i="10" s="1"/>
  <c r="B9" i="10"/>
  <c r="C9" i="10" s="1"/>
  <c r="D9" i="10" s="1"/>
  <c r="E9" i="10" s="1" a="1"/>
  <c r="E9" i="10" s="1"/>
  <c r="B10" i="10"/>
  <c r="C10" i="10" s="1"/>
  <c r="D10" i="10" s="1"/>
  <c r="E10" i="10" s="1" a="1"/>
  <c r="E10" i="10" s="1"/>
  <c r="B11" i="10"/>
  <c r="C11" i="10" s="1"/>
  <c r="D11" i="10" s="1"/>
  <c r="E11" i="10" s="1" a="1"/>
  <c r="E11" i="10" s="1"/>
  <c r="B12" i="10"/>
  <c r="C12" i="10" s="1"/>
  <c r="D12" i="10" s="1"/>
  <c r="E12" i="10" s="1" a="1"/>
  <c r="E12" i="10" s="1"/>
  <c r="B13" i="10"/>
  <c r="C13" i="10" s="1"/>
  <c r="D13" i="10" s="1"/>
  <c r="B14" i="10"/>
  <c r="C14" i="10" s="1"/>
  <c r="D14" i="10" s="1"/>
  <c r="B15" i="10"/>
  <c r="C15" i="10" s="1"/>
  <c r="D15" i="10" s="1"/>
  <c r="B16" i="10"/>
  <c r="C16" i="10" s="1"/>
  <c r="D16" i="10" s="1"/>
  <c r="B17" i="10"/>
  <c r="C17" i="10" s="1"/>
  <c r="D17" i="10" s="1"/>
  <c r="B18" i="10"/>
  <c r="C18" i="10" s="1"/>
  <c r="D18" i="10" s="1"/>
  <c r="B19" i="10"/>
  <c r="C19" i="10" s="1"/>
  <c r="D19" i="10" s="1"/>
  <c r="B20" i="10"/>
  <c r="C20" i="10" s="1"/>
  <c r="D20" i="10" s="1"/>
  <c r="B21" i="10"/>
  <c r="C21" i="10" s="1"/>
  <c r="D21" i="10" s="1"/>
  <c r="B22" i="10"/>
  <c r="C22" i="10" s="1"/>
  <c r="D22" i="10" s="1"/>
  <c r="B2" i="10"/>
  <c r="C2" i="10" s="1"/>
  <c r="D2" i="10" s="1"/>
  <c r="E2" i="10" s="1" a="1"/>
  <c r="E2" i="10" s="1"/>
  <c r="A3" i="10"/>
  <c r="J380" i="1" a="1"/>
  <c r="J380" i="1" s="1"/>
  <c r="K380" i="1" s="1"/>
  <c r="J379" i="1" a="1"/>
  <c r="J379" i="1" s="1"/>
  <c r="K379" i="1" s="1"/>
  <c r="J378" i="1" a="1"/>
  <c r="J378" i="1" s="1"/>
  <c r="K378" i="1" s="1"/>
  <c r="J377" i="1" a="1"/>
  <c r="J377" i="1" s="1"/>
  <c r="K377" i="1" s="1"/>
  <c r="J376" i="1" a="1"/>
  <c r="J376" i="1" s="1"/>
  <c r="K376" i="1" s="1"/>
  <c r="J375" i="1" a="1"/>
  <c r="J375" i="1" s="1"/>
  <c r="K375" i="1" s="1"/>
  <c r="J374" i="1" a="1"/>
  <c r="J374" i="1" s="1"/>
  <c r="K374" i="1" s="1"/>
  <c r="J373" i="1" a="1"/>
  <c r="J373" i="1" s="1"/>
  <c r="K373" i="1" s="1"/>
  <c r="J372" i="1" a="1"/>
  <c r="J372" i="1" s="1"/>
  <c r="K372" i="1" s="1"/>
  <c r="J370" i="1" a="1"/>
  <c r="J370" i="1" s="1"/>
  <c r="K370" i="1" s="1"/>
  <c r="J371" i="1" a="1"/>
  <c r="J371" i="1" s="1"/>
  <c r="K371" i="1" s="1"/>
  <c r="J369" i="1" a="1"/>
  <c r="J369" i="1" s="1"/>
  <c r="K369" i="1" s="1"/>
  <c r="J367" i="1" a="1"/>
  <c r="J367" i="1" s="1"/>
  <c r="K367" i="1" s="1"/>
  <c r="J366" i="1" a="1"/>
  <c r="J366" i="1" s="1"/>
  <c r="K366" i="1" s="1"/>
  <c r="J365" i="1" a="1"/>
  <c r="J365" i="1" s="1"/>
  <c r="K365" i="1" s="1"/>
  <c r="J364" i="1" a="1"/>
  <c r="J364" i="1" s="1"/>
  <c r="K364" i="1" s="1"/>
  <c r="J363" i="1" a="1"/>
  <c r="J363" i="1" s="1"/>
  <c r="K363" i="1" s="1"/>
  <c r="J362" i="1" a="1"/>
  <c r="J362" i="1" s="1"/>
  <c r="K362" i="1" s="1"/>
  <c r="J368" i="1" a="1"/>
  <c r="J368" i="1" s="1"/>
  <c r="K368" i="1" s="1"/>
  <c r="J361" i="1" a="1"/>
  <c r="J361" i="1" s="1"/>
  <c r="K361" i="1" s="1"/>
  <c r="J358" i="1" a="1"/>
  <c r="J358" i="1" s="1"/>
  <c r="K358" i="1" s="1"/>
  <c r="J360" i="1" a="1"/>
  <c r="J360" i="1" s="1"/>
  <c r="K360" i="1" s="1"/>
  <c r="J359" i="1" a="1"/>
  <c r="J359" i="1" s="1"/>
  <c r="K359" i="1" s="1"/>
  <c r="J357" i="1" a="1"/>
  <c r="J357" i="1" s="1"/>
  <c r="K357" i="1" s="1"/>
  <c r="J356" i="1" a="1"/>
  <c r="J356" i="1" s="1"/>
  <c r="K356" i="1" s="1"/>
  <c r="J355" i="1" a="1"/>
  <c r="J355" i="1" s="1"/>
  <c r="K355" i="1" s="1"/>
  <c r="J354" i="1" a="1"/>
  <c r="J354" i="1" s="1"/>
  <c r="K354" i="1" s="1"/>
  <c r="J353" i="1" a="1"/>
  <c r="J353" i="1" s="1"/>
  <c r="K353" i="1" s="1"/>
  <c r="J352" i="1" a="1"/>
  <c r="J352" i="1" s="1"/>
  <c r="K352" i="1" s="1"/>
  <c r="J351" i="1" a="1"/>
  <c r="J351" i="1" s="1"/>
  <c r="K351" i="1" s="1"/>
  <c r="J350" i="1" a="1"/>
  <c r="J350" i="1" s="1"/>
  <c r="K350" i="1" s="1"/>
  <c r="J254" i="1" a="1"/>
  <c r="J254" i="1" s="1"/>
  <c r="K254" i="1" s="1"/>
  <c r="J329" i="1" a="1"/>
  <c r="J329" i="1" s="1"/>
  <c r="K329" i="1" s="1"/>
  <c r="J338" i="1" a="1"/>
  <c r="J338" i="1" s="1"/>
  <c r="K338" i="1" s="1"/>
  <c r="J3" i="1" a="1"/>
  <c r="J3" i="1" s="1"/>
  <c r="K3" i="1" s="1"/>
  <c r="J4" i="1" a="1"/>
  <c r="J4" i="1" s="1"/>
  <c r="K4" i="1" s="1"/>
  <c r="J5" i="1" a="1"/>
  <c r="J5" i="1" s="1"/>
  <c r="K5" i="1" s="1"/>
  <c r="J6" i="1" a="1"/>
  <c r="J6" i="1" s="1"/>
  <c r="K6" i="1" s="1"/>
  <c r="J7" i="1" a="1"/>
  <c r="J7" i="1" s="1"/>
  <c r="K7" i="1" s="1"/>
  <c r="J8" i="1" a="1"/>
  <c r="J8" i="1" s="1"/>
  <c r="K8" i="1" s="1"/>
  <c r="J9" i="1" a="1"/>
  <c r="J9" i="1" s="1"/>
  <c r="K9" i="1" s="1"/>
  <c r="J10" i="1" a="1"/>
  <c r="J10" i="1" s="1"/>
  <c r="K10" i="1" s="1"/>
  <c r="J11" i="1" a="1"/>
  <c r="J11" i="1" s="1"/>
  <c r="K11" i="1" s="1"/>
  <c r="J12" i="1" a="1"/>
  <c r="J12" i="1" s="1"/>
  <c r="K12" i="1" s="1"/>
  <c r="J13" i="1" a="1"/>
  <c r="J13" i="1" s="1"/>
  <c r="K13" i="1" s="1"/>
  <c r="J14" i="1" a="1"/>
  <c r="J14" i="1" s="1"/>
  <c r="K14" i="1" s="1"/>
  <c r="J15" i="1" a="1"/>
  <c r="J15" i="1" s="1"/>
  <c r="K15" i="1" s="1"/>
  <c r="J16" i="1" a="1"/>
  <c r="J16" i="1" s="1"/>
  <c r="K16" i="1" s="1"/>
  <c r="J17" i="1" a="1"/>
  <c r="J17" i="1" s="1"/>
  <c r="K17" i="1" s="1"/>
  <c r="J18" i="1" a="1"/>
  <c r="J18" i="1" s="1"/>
  <c r="K18" i="1" s="1"/>
  <c r="J19" i="1" a="1"/>
  <c r="J19" i="1" s="1"/>
  <c r="K19" i="1" s="1"/>
  <c r="J20" i="1" a="1"/>
  <c r="J20" i="1" s="1"/>
  <c r="K20" i="1" s="1"/>
  <c r="J21" i="1" a="1"/>
  <c r="J21" i="1" s="1"/>
  <c r="K21" i="1" s="1"/>
  <c r="J22" i="1" a="1"/>
  <c r="J22" i="1" s="1"/>
  <c r="K22" i="1" s="1"/>
  <c r="J23" i="1" a="1"/>
  <c r="J23" i="1" s="1"/>
  <c r="K23" i="1" s="1"/>
  <c r="J24" i="1" a="1"/>
  <c r="J24" i="1" s="1"/>
  <c r="K24" i="1" s="1"/>
  <c r="J25" i="1" a="1"/>
  <c r="J25" i="1" s="1"/>
  <c r="K25" i="1" s="1"/>
  <c r="J26" i="1" a="1"/>
  <c r="J26" i="1" s="1"/>
  <c r="K26" i="1" s="1"/>
  <c r="J27" i="1" a="1"/>
  <c r="J27" i="1" s="1"/>
  <c r="K27" i="1" s="1"/>
  <c r="J28" i="1" a="1"/>
  <c r="J28" i="1" s="1"/>
  <c r="K28" i="1" s="1"/>
  <c r="J29" i="1" a="1"/>
  <c r="J29" i="1" s="1"/>
  <c r="K29" i="1" s="1"/>
  <c r="J30" i="1" a="1"/>
  <c r="J30" i="1" s="1"/>
  <c r="K30" i="1" s="1"/>
  <c r="J31" i="1" a="1"/>
  <c r="J31" i="1" s="1"/>
  <c r="K31" i="1" s="1"/>
  <c r="J32" i="1" a="1"/>
  <c r="J32" i="1" s="1"/>
  <c r="K32" i="1" s="1"/>
  <c r="J33" i="1" a="1"/>
  <c r="J33" i="1" s="1"/>
  <c r="K33" i="1" s="1"/>
  <c r="J34" i="1" a="1"/>
  <c r="J34" i="1" s="1"/>
  <c r="K34" i="1" s="1"/>
  <c r="J35" i="1" a="1"/>
  <c r="J35" i="1" s="1"/>
  <c r="K35" i="1" s="1"/>
  <c r="J36" i="1" a="1"/>
  <c r="J36" i="1" s="1"/>
  <c r="K36" i="1" s="1"/>
  <c r="J37" i="1" a="1"/>
  <c r="J37" i="1" s="1"/>
  <c r="K37" i="1" s="1"/>
  <c r="J38" i="1" a="1"/>
  <c r="J38" i="1" s="1"/>
  <c r="K38" i="1" s="1"/>
  <c r="J39" i="1" a="1"/>
  <c r="J39" i="1" s="1"/>
  <c r="K39" i="1" s="1"/>
  <c r="J40" i="1" a="1"/>
  <c r="J40" i="1" s="1"/>
  <c r="K40" i="1" s="1"/>
  <c r="J41" i="1" a="1"/>
  <c r="J41" i="1" s="1"/>
  <c r="K41" i="1" s="1"/>
  <c r="J42" i="1" a="1"/>
  <c r="J42" i="1" s="1"/>
  <c r="K42" i="1" s="1"/>
  <c r="J43" i="1" a="1"/>
  <c r="J43" i="1" s="1"/>
  <c r="K43" i="1" s="1"/>
  <c r="J44" i="1" a="1"/>
  <c r="J44" i="1" s="1"/>
  <c r="K44" i="1" s="1"/>
  <c r="J45" i="1" a="1"/>
  <c r="J45" i="1" s="1"/>
  <c r="K45" i="1" s="1"/>
  <c r="J46" i="1" a="1"/>
  <c r="J46" i="1" s="1"/>
  <c r="K46" i="1" s="1"/>
  <c r="J47" i="1" a="1"/>
  <c r="J47" i="1" s="1"/>
  <c r="K47" i="1" s="1"/>
  <c r="J48" i="1" a="1"/>
  <c r="J48" i="1" s="1"/>
  <c r="K48" i="1" s="1"/>
  <c r="J49" i="1" a="1"/>
  <c r="J49" i="1" s="1"/>
  <c r="K49" i="1" s="1"/>
  <c r="J50" i="1" a="1"/>
  <c r="J50" i="1" s="1"/>
  <c r="K50" i="1" s="1"/>
  <c r="J51" i="1" a="1"/>
  <c r="J51" i="1" s="1"/>
  <c r="K51" i="1" s="1"/>
  <c r="J52" i="1" a="1"/>
  <c r="J52" i="1" s="1"/>
  <c r="K52" i="1" s="1"/>
  <c r="J53" i="1" a="1"/>
  <c r="J53" i="1" s="1"/>
  <c r="K53" i="1" s="1"/>
  <c r="J54" i="1" a="1"/>
  <c r="J54" i="1" s="1"/>
  <c r="K54" i="1" s="1"/>
  <c r="J55" i="1" a="1"/>
  <c r="J55" i="1" s="1"/>
  <c r="K55" i="1" s="1"/>
  <c r="J56" i="1" a="1"/>
  <c r="J56" i="1" s="1"/>
  <c r="K56" i="1" s="1"/>
  <c r="J57" i="1" a="1"/>
  <c r="J57" i="1" s="1"/>
  <c r="K57" i="1" s="1"/>
  <c r="J58" i="1" a="1"/>
  <c r="J58" i="1" s="1"/>
  <c r="K58" i="1" s="1"/>
  <c r="J59" i="1" a="1"/>
  <c r="J59" i="1" s="1"/>
  <c r="K59" i="1" s="1"/>
  <c r="J60" i="1" a="1"/>
  <c r="J60" i="1" s="1"/>
  <c r="K60" i="1" s="1"/>
  <c r="J61" i="1" a="1"/>
  <c r="J61" i="1" s="1"/>
  <c r="K61" i="1" s="1"/>
  <c r="J62" i="1" a="1"/>
  <c r="J62" i="1" s="1"/>
  <c r="K62" i="1" s="1"/>
  <c r="J63" i="1" a="1"/>
  <c r="J63" i="1" s="1"/>
  <c r="K63" i="1" s="1"/>
  <c r="J64" i="1" a="1"/>
  <c r="J64" i="1" s="1"/>
  <c r="K64" i="1" s="1"/>
  <c r="J65" i="1" a="1"/>
  <c r="J65" i="1" s="1"/>
  <c r="K65" i="1" s="1"/>
  <c r="J66" i="1" a="1"/>
  <c r="J66" i="1" s="1"/>
  <c r="K66" i="1" s="1"/>
  <c r="J67" i="1" a="1"/>
  <c r="J67" i="1" s="1"/>
  <c r="K67" i="1" s="1"/>
  <c r="J68" i="1" a="1"/>
  <c r="J68" i="1" s="1"/>
  <c r="K68" i="1" s="1"/>
  <c r="J69" i="1" a="1"/>
  <c r="J69" i="1" s="1"/>
  <c r="K69" i="1" s="1"/>
  <c r="J70" i="1" a="1"/>
  <c r="J70" i="1" s="1"/>
  <c r="K70" i="1" s="1"/>
  <c r="J71" i="1" a="1"/>
  <c r="J71" i="1" s="1"/>
  <c r="K71" i="1" s="1"/>
  <c r="J72" i="1" a="1"/>
  <c r="J72" i="1" s="1"/>
  <c r="K72" i="1" s="1"/>
  <c r="J73" i="1" a="1"/>
  <c r="J73" i="1" s="1"/>
  <c r="K73" i="1" s="1"/>
  <c r="J74" i="1" a="1"/>
  <c r="J74" i="1" s="1"/>
  <c r="K74" i="1" s="1"/>
  <c r="J75" i="1" a="1"/>
  <c r="J75" i="1" s="1"/>
  <c r="K75" i="1" s="1"/>
  <c r="J76" i="1" a="1"/>
  <c r="J76" i="1" s="1"/>
  <c r="K76" i="1" s="1"/>
  <c r="J77" i="1" a="1"/>
  <c r="J77" i="1" s="1"/>
  <c r="K77" i="1" s="1"/>
  <c r="J78" i="1" a="1"/>
  <c r="J78" i="1" s="1"/>
  <c r="K78" i="1" s="1"/>
  <c r="J79" i="1" a="1"/>
  <c r="J79" i="1" s="1"/>
  <c r="K79" i="1" s="1"/>
  <c r="J80" i="1" a="1"/>
  <c r="J80" i="1" s="1"/>
  <c r="K80" i="1" s="1"/>
  <c r="J81" i="1" a="1"/>
  <c r="J81" i="1" s="1"/>
  <c r="K81" i="1" s="1"/>
  <c r="J82" i="1" a="1"/>
  <c r="J82" i="1" s="1"/>
  <c r="K82" i="1" s="1"/>
  <c r="J83" i="1" a="1"/>
  <c r="J83" i="1" s="1"/>
  <c r="K83" i="1" s="1"/>
  <c r="J84" i="1" a="1"/>
  <c r="J84" i="1" s="1"/>
  <c r="K84" i="1" s="1"/>
  <c r="J85" i="1" a="1"/>
  <c r="J85" i="1" s="1"/>
  <c r="K85" i="1" s="1"/>
  <c r="J86" i="1" a="1"/>
  <c r="J86" i="1" s="1"/>
  <c r="K86" i="1" s="1"/>
  <c r="J87" i="1" a="1"/>
  <c r="J87" i="1" s="1"/>
  <c r="K87" i="1" s="1"/>
  <c r="J88" i="1" a="1"/>
  <c r="J88" i="1" s="1"/>
  <c r="K88" i="1" s="1"/>
  <c r="J89" i="1" a="1"/>
  <c r="J89" i="1" s="1"/>
  <c r="K89" i="1" s="1"/>
  <c r="J90" i="1" a="1"/>
  <c r="J90" i="1" s="1"/>
  <c r="K90" i="1" s="1"/>
  <c r="J91" i="1" a="1"/>
  <c r="J91" i="1" s="1"/>
  <c r="K91" i="1" s="1"/>
  <c r="J92" i="1" a="1"/>
  <c r="J92" i="1" s="1"/>
  <c r="K92" i="1" s="1"/>
  <c r="J93" i="1" a="1"/>
  <c r="J93" i="1" s="1"/>
  <c r="K93" i="1" s="1"/>
  <c r="J94" i="1" a="1"/>
  <c r="J94" i="1" s="1"/>
  <c r="K94" i="1" s="1"/>
  <c r="J95" i="1" a="1"/>
  <c r="J95" i="1" s="1"/>
  <c r="K95" i="1" s="1"/>
  <c r="J96" i="1" a="1"/>
  <c r="J96" i="1" s="1"/>
  <c r="K96" i="1" s="1"/>
  <c r="J97" i="1" a="1"/>
  <c r="J97" i="1" s="1"/>
  <c r="K97" i="1" s="1"/>
  <c r="J98" i="1" a="1"/>
  <c r="J98" i="1" s="1"/>
  <c r="K98" i="1" s="1"/>
  <c r="J99" i="1" a="1"/>
  <c r="J99" i="1" s="1"/>
  <c r="K99" i="1" s="1"/>
  <c r="J100" i="1" a="1"/>
  <c r="J100" i="1" s="1"/>
  <c r="K100" i="1" s="1"/>
  <c r="J101" i="1" a="1"/>
  <c r="J101" i="1" s="1"/>
  <c r="K101" i="1" s="1"/>
  <c r="J102" i="1" a="1"/>
  <c r="J102" i="1" s="1"/>
  <c r="K102" i="1" s="1"/>
  <c r="J103" i="1" a="1"/>
  <c r="J103" i="1" s="1"/>
  <c r="K103" i="1" s="1"/>
  <c r="J104" i="1" a="1"/>
  <c r="J104" i="1" s="1"/>
  <c r="K104" i="1" s="1"/>
  <c r="J105" i="1" a="1"/>
  <c r="J105" i="1" s="1"/>
  <c r="K105" i="1" s="1"/>
  <c r="J106" i="1" a="1"/>
  <c r="J106" i="1" s="1"/>
  <c r="K106" i="1" s="1"/>
  <c r="J107" i="1" a="1"/>
  <c r="J107" i="1" s="1"/>
  <c r="K107" i="1" s="1"/>
  <c r="J108" i="1" a="1"/>
  <c r="J108" i="1" s="1"/>
  <c r="K108" i="1" s="1"/>
  <c r="J109" i="1" a="1"/>
  <c r="J109" i="1" s="1"/>
  <c r="K109" i="1" s="1"/>
  <c r="J110" i="1" a="1"/>
  <c r="J110" i="1" s="1"/>
  <c r="K110" i="1" s="1"/>
  <c r="J111" i="1" a="1"/>
  <c r="J111" i="1" s="1"/>
  <c r="K111" i="1" s="1"/>
  <c r="J112" i="1" a="1"/>
  <c r="J112" i="1" s="1"/>
  <c r="K112" i="1" s="1"/>
  <c r="J113" i="1" a="1"/>
  <c r="J113" i="1" s="1"/>
  <c r="K113" i="1" s="1"/>
  <c r="J114" i="1" a="1"/>
  <c r="J114" i="1" s="1"/>
  <c r="K114" i="1" s="1"/>
  <c r="J115" i="1" a="1"/>
  <c r="J115" i="1" s="1"/>
  <c r="K115" i="1" s="1"/>
  <c r="J116" i="1" a="1"/>
  <c r="J116" i="1" s="1"/>
  <c r="K116" i="1" s="1"/>
  <c r="J117" i="1" a="1"/>
  <c r="J117" i="1" s="1"/>
  <c r="K117" i="1" s="1"/>
  <c r="J118" i="1" a="1"/>
  <c r="J118" i="1" s="1"/>
  <c r="K118" i="1" s="1"/>
  <c r="J119" i="1" a="1"/>
  <c r="J119" i="1" s="1"/>
  <c r="K119" i="1" s="1"/>
  <c r="J120" i="1" a="1"/>
  <c r="J120" i="1" s="1"/>
  <c r="K120" i="1" s="1"/>
  <c r="J121" i="1" a="1"/>
  <c r="J121" i="1" s="1"/>
  <c r="K121" i="1" s="1"/>
  <c r="J122" i="1" a="1"/>
  <c r="J122" i="1" s="1"/>
  <c r="K122" i="1" s="1"/>
  <c r="J123" i="1" a="1"/>
  <c r="J123" i="1" s="1"/>
  <c r="K123" i="1" s="1"/>
  <c r="J124" i="1" a="1"/>
  <c r="J124" i="1" s="1"/>
  <c r="K124" i="1" s="1"/>
  <c r="J125" i="1" a="1"/>
  <c r="J125" i="1" s="1"/>
  <c r="K125" i="1" s="1"/>
  <c r="J126" i="1" a="1"/>
  <c r="J126" i="1" s="1"/>
  <c r="K126" i="1" s="1"/>
  <c r="J127" i="1" a="1"/>
  <c r="J127" i="1" s="1"/>
  <c r="K127" i="1" s="1"/>
  <c r="J128" i="1" a="1"/>
  <c r="J128" i="1" s="1"/>
  <c r="K128" i="1" s="1"/>
  <c r="J129" i="1" a="1"/>
  <c r="J129" i="1" s="1"/>
  <c r="K129" i="1" s="1"/>
  <c r="J130" i="1" a="1"/>
  <c r="J130" i="1" s="1"/>
  <c r="K130" i="1" s="1"/>
  <c r="J131" i="1" a="1"/>
  <c r="J131" i="1" s="1"/>
  <c r="K131" i="1" s="1"/>
  <c r="J132" i="1" a="1"/>
  <c r="J132" i="1" s="1"/>
  <c r="K132" i="1" s="1"/>
  <c r="J133" i="1" a="1"/>
  <c r="J133" i="1" s="1"/>
  <c r="K133" i="1" s="1"/>
  <c r="J134" i="1" a="1"/>
  <c r="J134" i="1" s="1"/>
  <c r="K134" i="1" s="1"/>
  <c r="J135" i="1" a="1"/>
  <c r="J135" i="1" s="1"/>
  <c r="K135" i="1" s="1"/>
  <c r="J136" i="1" a="1"/>
  <c r="J136" i="1" s="1"/>
  <c r="K136" i="1" s="1"/>
  <c r="J137" i="1" a="1"/>
  <c r="J137" i="1" s="1"/>
  <c r="K137" i="1" s="1"/>
  <c r="J138" i="1" a="1"/>
  <c r="J138" i="1" s="1"/>
  <c r="J139" i="1" a="1"/>
  <c r="J139" i="1" s="1"/>
  <c r="K139" i="1" s="1"/>
  <c r="J140" i="1" a="1"/>
  <c r="J140" i="1" s="1"/>
  <c r="J141" i="1" a="1"/>
  <c r="J141" i="1" s="1"/>
  <c r="J142" i="1" a="1"/>
  <c r="J142" i="1" s="1"/>
  <c r="J143" i="1" a="1"/>
  <c r="J143" i="1" s="1"/>
  <c r="K143" i="1" s="1"/>
  <c r="J144" i="1" a="1"/>
  <c r="J144" i="1" s="1"/>
  <c r="K144" i="1" s="1"/>
  <c r="J145" i="1" a="1"/>
  <c r="J145" i="1" s="1"/>
  <c r="K145" i="1" s="1"/>
  <c r="J146" i="1" a="1"/>
  <c r="J146" i="1" s="1"/>
  <c r="K146" i="1" s="1"/>
  <c r="J147" i="1" a="1"/>
  <c r="J147" i="1" s="1"/>
  <c r="K147" i="1" s="1"/>
  <c r="J148" i="1" a="1"/>
  <c r="J148" i="1" s="1"/>
  <c r="K148" i="1" s="1"/>
  <c r="J149" i="1" a="1"/>
  <c r="J149" i="1" s="1"/>
  <c r="K149" i="1" s="1"/>
  <c r="J150" i="1" a="1"/>
  <c r="J150" i="1" s="1"/>
  <c r="K150" i="1" s="1"/>
  <c r="J151" i="1" a="1"/>
  <c r="J151" i="1" s="1"/>
  <c r="K151" i="1" s="1"/>
  <c r="J152" i="1" a="1"/>
  <c r="J152" i="1" s="1"/>
  <c r="K152" i="1" s="1"/>
  <c r="J153" i="1" a="1"/>
  <c r="J153" i="1" s="1"/>
  <c r="K153" i="1" s="1"/>
  <c r="J154" i="1" a="1"/>
  <c r="J154" i="1" s="1"/>
  <c r="K154" i="1" s="1"/>
  <c r="J155" i="1" a="1"/>
  <c r="J155" i="1" s="1"/>
  <c r="K155" i="1" s="1"/>
  <c r="J156" i="1" a="1"/>
  <c r="J156" i="1" s="1"/>
  <c r="K156" i="1" s="1"/>
  <c r="J157" i="1" a="1"/>
  <c r="J157" i="1" s="1"/>
  <c r="K157" i="1" s="1"/>
  <c r="J158" i="1" a="1"/>
  <c r="J158" i="1" s="1"/>
  <c r="K158" i="1" s="1"/>
  <c r="J159" i="1" a="1"/>
  <c r="J159" i="1" s="1"/>
  <c r="K159" i="1" s="1"/>
  <c r="J160" i="1" a="1"/>
  <c r="J160" i="1" s="1"/>
  <c r="K160" i="1" s="1"/>
  <c r="J161" i="1" a="1"/>
  <c r="J161" i="1" s="1"/>
  <c r="K161" i="1" s="1"/>
  <c r="J162" i="1" a="1"/>
  <c r="J162" i="1" s="1"/>
  <c r="K162" i="1" s="1"/>
  <c r="J163" i="1" a="1"/>
  <c r="J163" i="1" s="1"/>
  <c r="K163" i="1" s="1"/>
  <c r="J164" i="1" a="1"/>
  <c r="J164" i="1" s="1"/>
  <c r="K164" i="1" s="1"/>
  <c r="J165" i="1" a="1"/>
  <c r="J165" i="1" s="1"/>
  <c r="K165" i="1" s="1"/>
  <c r="J166" i="1" a="1"/>
  <c r="J166" i="1" s="1"/>
  <c r="K166" i="1" s="1"/>
  <c r="J167" i="1" a="1"/>
  <c r="J167" i="1" s="1"/>
  <c r="K167" i="1" s="1"/>
  <c r="J168" i="1" a="1"/>
  <c r="J168" i="1" s="1"/>
  <c r="K168" i="1" s="1"/>
  <c r="J169" i="1" a="1"/>
  <c r="J169" i="1" s="1"/>
  <c r="K169" i="1" s="1"/>
  <c r="J170" i="1" a="1"/>
  <c r="J170" i="1" s="1"/>
  <c r="K170" i="1" s="1"/>
  <c r="J171" i="1" a="1"/>
  <c r="J171" i="1" s="1"/>
  <c r="K171" i="1" s="1"/>
  <c r="J172" i="1" a="1"/>
  <c r="J172" i="1" s="1"/>
  <c r="J173" i="1" a="1"/>
  <c r="J173" i="1" s="1"/>
  <c r="K173" i="1" s="1"/>
  <c r="J174" i="1" a="1"/>
  <c r="J174" i="1" s="1"/>
  <c r="K174" i="1" s="1"/>
  <c r="J175" i="1" a="1"/>
  <c r="J175" i="1" s="1"/>
  <c r="K175" i="1" s="1"/>
  <c r="J176" i="1" a="1"/>
  <c r="J176" i="1" s="1"/>
  <c r="K176" i="1" s="1"/>
  <c r="J177" i="1" a="1"/>
  <c r="J177" i="1" s="1"/>
  <c r="K177" i="1" s="1"/>
  <c r="J178" i="1" a="1"/>
  <c r="J178" i="1" s="1"/>
  <c r="K178" i="1" s="1"/>
  <c r="J179" i="1" a="1"/>
  <c r="J179" i="1" s="1"/>
  <c r="K179" i="1" s="1"/>
  <c r="J180" i="1" a="1"/>
  <c r="J180" i="1" s="1"/>
  <c r="K180" i="1" s="1"/>
  <c r="J181" i="1" a="1"/>
  <c r="J181" i="1" s="1"/>
  <c r="K181" i="1" s="1"/>
  <c r="J182" i="1" a="1"/>
  <c r="J182" i="1" s="1"/>
  <c r="K182" i="1" s="1"/>
  <c r="J183" i="1" a="1"/>
  <c r="J183" i="1" s="1"/>
  <c r="K183" i="1" s="1"/>
  <c r="J184" i="1" a="1"/>
  <c r="J184" i="1" s="1"/>
  <c r="K184" i="1" s="1"/>
  <c r="J185" i="1" a="1"/>
  <c r="J185" i="1" s="1"/>
  <c r="K185" i="1" s="1"/>
  <c r="J186" i="1" a="1"/>
  <c r="J186" i="1" s="1"/>
  <c r="K186" i="1" s="1"/>
  <c r="J187" i="1" a="1"/>
  <c r="J187" i="1" s="1"/>
  <c r="K187" i="1" s="1"/>
  <c r="J188" i="1" a="1"/>
  <c r="J188" i="1" s="1"/>
  <c r="K188" i="1" s="1"/>
  <c r="J189" i="1" a="1"/>
  <c r="J189" i="1" s="1"/>
  <c r="K189" i="1" s="1"/>
  <c r="J190" i="1" a="1"/>
  <c r="J190" i="1" s="1"/>
  <c r="K190" i="1" s="1"/>
  <c r="J191" i="1" a="1"/>
  <c r="J191" i="1" s="1"/>
  <c r="K191" i="1" s="1"/>
  <c r="J192" i="1" a="1"/>
  <c r="J192" i="1" s="1"/>
  <c r="K192" i="1" s="1"/>
  <c r="J193" i="1" a="1"/>
  <c r="J193" i="1" s="1"/>
  <c r="K193" i="1" s="1"/>
  <c r="J194" i="1" a="1"/>
  <c r="J194" i="1" s="1"/>
  <c r="K194" i="1" s="1"/>
  <c r="J195" i="1" a="1"/>
  <c r="J195" i="1" s="1"/>
  <c r="K195" i="1" s="1"/>
  <c r="J196" i="1" a="1"/>
  <c r="J196" i="1" s="1"/>
  <c r="K196" i="1" s="1"/>
  <c r="J197" i="1" a="1"/>
  <c r="J197" i="1" s="1"/>
  <c r="K197" i="1" s="1"/>
  <c r="J198" i="1" a="1"/>
  <c r="J198" i="1" s="1"/>
  <c r="K198" i="1" s="1"/>
  <c r="J199" i="1" a="1"/>
  <c r="J199" i="1" s="1"/>
  <c r="K199" i="1" s="1"/>
  <c r="J200" i="1" a="1"/>
  <c r="J200" i="1" s="1"/>
  <c r="K200" i="1" s="1"/>
  <c r="J201" i="1" a="1"/>
  <c r="J201" i="1" s="1"/>
  <c r="K201" i="1" s="1"/>
  <c r="J202" i="1" a="1"/>
  <c r="J202" i="1" s="1"/>
  <c r="K202" i="1" s="1"/>
  <c r="J203" i="1" a="1"/>
  <c r="J203" i="1" s="1"/>
  <c r="K203" i="1" s="1"/>
  <c r="J204" i="1" a="1"/>
  <c r="J204" i="1" s="1"/>
  <c r="K204" i="1" s="1"/>
  <c r="J205" i="1" a="1"/>
  <c r="J205" i="1" s="1"/>
  <c r="K205" i="1" s="1"/>
  <c r="J206" i="1" a="1"/>
  <c r="J206" i="1" s="1"/>
  <c r="K206" i="1" s="1"/>
  <c r="J207" i="1" a="1"/>
  <c r="J207" i="1" s="1"/>
  <c r="K207" i="1" s="1"/>
  <c r="J208" i="1" a="1"/>
  <c r="J208" i="1" s="1"/>
  <c r="K208" i="1" s="1"/>
  <c r="J209" i="1" a="1"/>
  <c r="J209" i="1" s="1"/>
  <c r="K209" i="1" s="1"/>
  <c r="J210" i="1" a="1"/>
  <c r="J210" i="1" s="1"/>
  <c r="K210" i="1" s="1"/>
  <c r="J211" i="1" a="1"/>
  <c r="J211" i="1" s="1"/>
  <c r="K211" i="1" s="1"/>
  <c r="J212" i="1" a="1"/>
  <c r="J212" i="1" s="1"/>
  <c r="K212" i="1" s="1"/>
  <c r="J213" i="1" a="1"/>
  <c r="J213" i="1" s="1"/>
  <c r="K213" i="1" s="1"/>
  <c r="J214" i="1" a="1"/>
  <c r="J214" i="1" s="1"/>
  <c r="K214" i="1" s="1"/>
  <c r="J215" i="1" a="1"/>
  <c r="J215" i="1" s="1"/>
  <c r="K215" i="1" s="1"/>
  <c r="J216" i="1" a="1"/>
  <c r="J216" i="1" s="1"/>
  <c r="K216" i="1" s="1"/>
  <c r="J217" i="1" a="1"/>
  <c r="J217" i="1" s="1"/>
  <c r="K217" i="1" s="1"/>
  <c r="J218" i="1" a="1"/>
  <c r="J218" i="1" s="1"/>
  <c r="K218" i="1" s="1"/>
  <c r="J219" i="1" a="1"/>
  <c r="J219" i="1" s="1"/>
  <c r="K219" i="1" s="1"/>
  <c r="J220" i="1" a="1"/>
  <c r="J220" i="1" s="1"/>
  <c r="K220" i="1" s="1"/>
  <c r="J221" i="1" a="1"/>
  <c r="J221" i="1" s="1"/>
  <c r="K221" i="1" s="1"/>
  <c r="J222" i="1" a="1"/>
  <c r="J222" i="1" s="1"/>
  <c r="K222" i="1" s="1"/>
  <c r="J223" i="1" a="1"/>
  <c r="J223" i="1" s="1"/>
  <c r="K223" i="1" s="1"/>
  <c r="J224" i="1" a="1"/>
  <c r="J224" i="1" s="1"/>
  <c r="K224" i="1" s="1"/>
  <c r="J225" i="1" a="1"/>
  <c r="J225" i="1" s="1"/>
  <c r="K225" i="1" s="1"/>
  <c r="J226" i="1" a="1"/>
  <c r="J226" i="1" s="1"/>
  <c r="K226" i="1" s="1"/>
  <c r="J227" i="1" a="1"/>
  <c r="J227" i="1" s="1"/>
  <c r="K227" i="1" s="1"/>
  <c r="J228" i="1" a="1"/>
  <c r="J228" i="1" s="1"/>
  <c r="K228" i="1" s="1"/>
  <c r="J229" i="1" a="1"/>
  <c r="J229" i="1" s="1"/>
  <c r="K229" i="1" s="1"/>
  <c r="J230" i="1" a="1"/>
  <c r="J230" i="1" s="1"/>
  <c r="K230" i="1" s="1"/>
  <c r="J231" i="1" a="1"/>
  <c r="J231" i="1" s="1"/>
  <c r="K231" i="1" s="1"/>
  <c r="J232" i="1" a="1"/>
  <c r="J232" i="1" s="1"/>
  <c r="K232" i="1" s="1"/>
  <c r="J233" i="1" a="1"/>
  <c r="J233" i="1" s="1"/>
  <c r="K233" i="1" s="1"/>
  <c r="J234" i="1" a="1"/>
  <c r="J234" i="1" s="1"/>
  <c r="K234" i="1" s="1"/>
  <c r="J235" i="1" a="1"/>
  <c r="J235" i="1" s="1"/>
  <c r="K235" i="1" s="1"/>
  <c r="J236" i="1" a="1"/>
  <c r="J236" i="1" s="1"/>
  <c r="K236" i="1" s="1"/>
  <c r="J237" i="1" a="1"/>
  <c r="J237" i="1" s="1"/>
  <c r="K237" i="1" s="1"/>
  <c r="J238" i="1" a="1"/>
  <c r="J238" i="1" s="1"/>
  <c r="K238" i="1" s="1"/>
  <c r="J239" i="1" a="1"/>
  <c r="J239" i="1" s="1"/>
  <c r="K239" i="1" s="1"/>
  <c r="J240" i="1" a="1"/>
  <c r="J240" i="1" s="1"/>
  <c r="K240" i="1" s="1"/>
  <c r="J241" i="1" a="1"/>
  <c r="J241" i="1" s="1"/>
  <c r="K241" i="1" s="1"/>
  <c r="J242" i="1" a="1"/>
  <c r="J242" i="1" s="1"/>
  <c r="K242" i="1" s="1"/>
  <c r="J243" i="1" a="1"/>
  <c r="J243" i="1" s="1"/>
  <c r="K243" i="1" s="1"/>
  <c r="J244" i="1" a="1"/>
  <c r="J244" i="1" s="1"/>
  <c r="K244" i="1" s="1"/>
  <c r="J246" i="1" a="1"/>
  <c r="J246" i="1" s="1"/>
  <c r="K246" i="1" s="1"/>
  <c r="J247" i="1" a="1"/>
  <c r="J247" i="1" s="1"/>
  <c r="K247" i="1" s="1"/>
  <c r="J248" i="1" a="1"/>
  <c r="J248" i="1" s="1"/>
  <c r="K248" i="1" s="1"/>
  <c r="J249" i="1" a="1"/>
  <c r="J249" i="1" s="1"/>
  <c r="K249" i="1" s="1"/>
  <c r="J250" i="1" a="1"/>
  <c r="J250" i="1" s="1"/>
  <c r="K250" i="1" s="1"/>
  <c r="J251" i="1" a="1"/>
  <c r="J251" i="1" s="1"/>
  <c r="K251" i="1" s="1"/>
  <c r="J252" i="1" a="1"/>
  <c r="J252" i="1" s="1"/>
  <c r="K252" i="1" s="1"/>
  <c r="J253" i="1" a="1"/>
  <c r="J253" i="1" s="1"/>
  <c r="K253" i="1" s="1"/>
  <c r="J255" i="1" a="1"/>
  <c r="J255" i="1" s="1"/>
  <c r="K255" i="1" s="1"/>
  <c r="J256" i="1" a="1"/>
  <c r="J256" i="1" s="1"/>
  <c r="K256" i="1" s="1"/>
  <c r="J257" i="1" a="1"/>
  <c r="J257" i="1" s="1"/>
  <c r="K257" i="1" s="1"/>
  <c r="J258" i="1" a="1"/>
  <c r="J258" i="1" s="1"/>
  <c r="K258" i="1" s="1"/>
  <c r="J259" i="1" a="1"/>
  <c r="J259" i="1" s="1"/>
  <c r="K259" i="1" s="1"/>
  <c r="J260" i="1" a="1"/>
  <c r="J260" i="1" s="1"/>
  <c r="K260" i="1" s="1"/>
  <c r="J261" i="1" a="1"/>
  <c r="J261" i="1" s="1"/>
  <c r="K261" i="1" s="1"/>
  <c r="J262" i="1" a="1"/>
  <c r="J262" i="1" s="1"/>
  <c r="K262" i="1" s="1"/>
  <c r="J263" i="1" a="1"/>
  <c r="J263" i="1" s="1"/>
  <c r="K263" i="1" s="1"/>
  <c r="J264" i="1" a="1"/>
  <c r="J264" i="1" s="1"/>
  <c r="K264" i="1" s="1"/>
  <c r="J265" i="1" a="1"/>
  <c r="J265" i="1" s="1"/>
  <c r="K265" i="1" s="1"/>
  <c r="J266" i="1" a="1"/>
  <c r="J266" i="1" s="1"/>
  <c r="K266" i="1" s="1"/>
  <c r="J267" i="1" a="1"/>
  <c r="J267" i="1" s="1"/>
  <c r="K267" i="1" s="1"/>
  <c r="J268" i="1" a="1"/>
  <c r="J268" i="1" s="1"/>
  <c r="K268" i="1" s="1"/>
  <c r="J269" i="1" a="1"/>
  <c r="J269" i="1" s="1"/>
  <c r="K269" i="1" s="1"/>
  <c r="J270" i="1" a="1"/>
  <c r="J270" i="1" s="1"/>
  <c r="K270" i="1" s="1"/>
  <c r="J271" i="1" a="1"/>
  <c r="J271" i="1" s="1"/>
  <c r="K271" i="1" s="1"/>
  <c r="J272" i="1" a="1"/>
  <c r="J272" i="1" s="1"/>
  <c r="K272" i="1" s="1"/>
  <c r="J273" i="1" a="1"/>
  <c r="J273" i="1" s="1"/>
  <c r="K273" i="1" s="1"/>
  <c r="J274" i="1" a="1"/>
  <c r="J274" i="1" s="1"/>
  <c r="K274" i="1" s="1"/>
  <c r="J275" i="1" a="1"/>
  <c r="J275" i="1" s="1"/>
  <c r="K275" i="1" s="1"/>
  <c r="J276" i="1" a="1"/>
  <c r="J276" i="1" s="1"/>
  <c r="K276" i="1" s="1"/>
  <c r="J277" i="1" a="1"/>
  <c r="J277" i="1" s="1"/>
  <c r="K277" i="1" s="1"/>
  <c r="J278" i="1" a="1"/>
  <c r="J278" i="1" s="1"/>
  <c r="K278" i="1" s="1"/>
  <c r="J279" i="1" a="1"/>
  <c r="J279" i="1" s="1"/>
  <c r="K279" i="1" s="1"/>
  <c r="J280" i="1" a="1"/>
  <c r="J280" i="1" s="1"/>
  <c r="K280" i="1" s="1"/>
  <c r="J281" i="1" a="1"/>
  <c r="J281" i="1" s="1"/>
  <c r="K281" i="1" s="1"/>
  <c r="J282" i="1" a="1"/>
  <c r="J282" i="1" s="1"/>
  <c r="K282" i="1" s="1"/>
  <c r="J283" i="1" a="1"/>
  <c r="J283" i="1" s="1"/>
  <c r="K283" i="1" s="1"/>
  <c r="J284" i="1" a="1"/>
  <c r="J284" i="1" s="1"/>
  <c r="K284" i="1" s="1"/>
  <c r="J285" i="1" a="1"/>
  <c r="J285" i="1" s="1"/>
  <c r="K285" i="1" s="1"/>
  <c r="J286" i="1" a="1"/>
  <c r="J286" i="1" s="1"/>
  <c r="K286" i="1" s="1"/>
  <c r="J287" i="1" a="1"/>
  <c r="J287" i="1" s="1"/>
  <c r="K287" i="1" s="1"/>
  <c r="J288" i="1" a="1"/>
  <c r="J288" i="1" s="1"/>
  <c r="K288" i="1" s="1"/>
  <c r="J289" i="1" a="1"/>
  <c r="J289" i="1" s="1"/>
  <c r="K289" i="1" s="1"/>
  <c r="J290" i="1" a="1"/>
  <c r="J290" i="1" s="1"/>
  <c r="K290" i="1" s="1"/>
  <c r="J291" i="1" a="1"/>
  <c r="J291" i="1" s="1"/>
  <c r="K291" i="1" s="1"/>
  <c r="J292" i="1" a="1"/>
  <c r="J292" i="1" s="1"/>
  <c r="K292" i="1" s="1"/>
  <c r="J293" i="1" a="1"/>
  <c r="J293" i="1" s="1"/>
  <c r="K293" i="1" s="1"/>
  <c r="J294" i="1" a="1"/>
  <c r="J294" i="1" s="1"/>
  <c r="K294" i="1" s="1"/>
  <c r="J295" i="1" a="1"/>
  <c r="J295" i="1" s="1"/>
  <c r="K295" i="1" s="1"/>
  <c r="J296" i="1" a="1"/>
  <c r="J296" i="1" s="1"/>
  <c r="K296" i="1" s="1"/>
  <c r="J297" i="1" a="1"/>
  <c r="J297" i="1" s="1"/>
  <c r="K297" i="1" s="1"/>
  <c r="J298" i="1" a="1"/>
  <c r="J298" i="1" s="1"/>
  <c r="K298" i="1" s="1"/>
  <c r="J299" i="1" a="1"/>
  <c r="J299" i="1" s="1"/>
  <c r="K299" i="1" s="1"/>
  <c r="J300" i="1" a="1"/>
  <c r="J300" i="1" s="1"/>
  <c r="K300" i="1" s="1"/>
  <c r="J301" i="1" a="1"/>
  <c r="J301" i="1" s="1"/>
  <c r="K301" i="1" s="1"/>
  <c r="J302" i="1" a="1"/>
  <c r="J302" i="1" s="1"/>
  <c r="K302" i="1" s="1"/>
  <c r="J304" i="1" a="1"/>
  <c r="J304" i="1" s="1"/>
  <c r="K304" i="1" s="1"/>
  <c r="J305" i="1" a="1"/>
  <c r="J305" i="1" s="1"/>
  <c r="K305" i="1" s="1"/>
  <c r="J306" i="1" a="1"/>
  <c r="J306" i="1" s="1"/>
  <c r="K306" i="1" s="1"/>
  <c r="J307" i="1" a="1"/>
  <c r="J307" i="1" s="1"/>
  <c r="K307" i="1" s="1"/>
  <c r="J308" i="1" a="1"/>
  <c r="J308" i="1" s="1"/>
  <c r="K308" i="1" s="1"/>
  <c r="J309" i="1" a="1"/>
  <c r="J309" i="1" s="1"/>
  <c r="K309" i="1" s="1"/>
  <c r="J310" i="1" a="1"/>
  <c r="J310" i="1" s="1"/>
  <c r="K310" i="1" s="1"/>
  <c r="J311" i="1" a="1"/>
  <c r="J311" i="1" s="1"/>
  <c r="K311" i="1" s="1"/>
  <c r="J312" i="1" a="1"/>
  <c r="J312" i="1" s="1"/>
  <c r="K312" i="1" s="1"/>
  <c r="J313" i="1" a="1"/>
  <c r="J313" i="1" s="1"/>
  <c r="K313" i="1" s="1"/>
  <c r="J314" i="1" a="1"/>
  <c r="J314" i="1" s="1"/>
  <c r="K314" i="1" s="1"/>
  <c r="J315" i="1" a="1"/>
  <c r="J315" i="1" s="1"/>
  <c r="K315" i="1" s="1"/>
  <c r="J316" i="1" a="1"/>
  <c r="J316" i="1" s="1"/>
  <c r="K316" i="1" s="1"/>
  <c r="J317" i="1" a="1"/>
  <c r="J317" i="1" s="1"/>
  <c r="K317" i="1" s="1"/>
  <c r="J318" i="1" a="1"/>
  <c r="J318" i="1" s="1"/>
  <c r="K318" i="1" s="1"/>
  <c r="J319" i="1" a="1"/>
  <c r="J319" i="1" s="1"/>
  <c r="K319" i="1" s="1"/>
  <c r="J320" i="1" a="1"/>
  <c r="J320" i="1" s="1"/>
  <c r="K320" i="1" s="1"/>
  <c r="J321" i="1" a="1"/>
  <c r="J321" i="1" s="1"/>
  <c r="K321" i="1" s="1"/>
  <c r="J322" i="1" a="1"/>
  <c r="J322" i="1" s="1"/>
  <c r="K322" i="1" s="1"/>
  <c r="J323" i="1" a="1"/>
  <c r="J323" i="1" s="1"/>
  <c r="K323" i="1" s="1"/>
  <c r="J324" i="1" a="1"/>
  <c r="J324" i="1" s="1"/>
  <c r="K324" i="1" s="1"/>
  <c r="J325" i="1" a="1"/>
  <c r="J325" i="1" s="1"/>
  <c r="K325" i="1" s="1"/>
  <c r="J326" i="1" a="1"/>
  <c r="J326" i="1" s="1"/>
  <c r="K326" i="1" s="1"/>
  <c r="J327" i="1" a="1"/>
  <c r="J327" i="1" s="1"/>
  <c r="K327" i="1" s="1"/>
  <c r="J328" i="1" a="1"/>
  <c r="J328" i="1" s="1"/>
  <c r="K328" i="1" s="1"/>
  <c r="J330" i="1" a="1"/>
  <c r="J330" i="1" s="1"/>
  <c r="K330" i="1" s="1"/>
  <c r="J331" i="1" a="1"/>
  <c r="J331" i="1" s="1"/>
  <c r="K331" i="1" s="1"/>
  <c r="J332" i="1" a="1"/>
  <c r="J332" i="1" s="1"/>
  <c r="K332" i="1" s="1"/>
  <c r="J333" i="1" a="1"/>
  <c r="J333" i="1" s="1"/>
  <c r="K333" i="1" s="1"/>
  <c r="J334" i="1" a="1"/>
  <c r="J334" i="1" s="1"/>
  <c r="K334" i="1" s="1"/>
  <c r="J336" i="1" a="1"/>
  <c r="J336" i="1" s="1"/>
  <c r="K336" i="1" s="1"/>
  <c r="J335" i="1" a="1"/>
  <c r="J335" i="1" s="1"/>
  <c r="K335" i="1" s="1"/>
  <c r="J337" i="1" a="1"/>
  <c r="J337" i="1" s="1"/>
  <c r="K337" i="1" s="1"/>
  <c r="J340" i="1" a="1"/>
  <c r="J340" i="1" s="1"/>
  <c r="K340" i="1" s="1"/>
  <c r="J339" i="1" a="1"/>
  <c r="J339" i="1" s="1"/>
  <c r="K339" i="1" s="1"/>
  <c r="J341" i="1" a="1"/>
  <c r="J341" i="1" s="1"/>
  <c r="K341" i="1" s="1"/>
  <c r="J342" i="1" a="1"/>
  <c r="J342" i="1" s="1"/>
  <c r="K342" i="1" s="1"/>
  <c r="J344" i="1" a="1"/>
  <c r="J344" i="1" s="1"/>
  <c r="K344" i="1" s="1"/>
  <c r="J346" i="1" a="1"/>
  <c r="J346" i="1" s="1"/>
  <c r="K346" i="1" s="1"/>
  <c r="J347" i="1" a="1"/>
  <c r="J347" i="1" s="1"/>
  <c r="K347" i="1" s="1"/>
  <c r="J345" i="1" a="1"/>
  <c r="J345" i="1" s="1"/>
  <c r="K345" i="1" s="1"/>
  <c r="J343" i="1" a="1"/>
  <c r="J343" i="1" s="1"/>
  <c r="K343" i="1" s="1"/>
  <c r="J348" i="1" a="1"/>
  <c r="J348" i="1" s="1"/>
  <c r="K348" i="1" s="1"/>
  <c r="J349" i="1" a="1"/>
  <c r="J349" i="1" s="1"/>
  <c r="K349" i="1" s="1"/>
  <c r="J2" i="1" a="1"/>
  <c r="J2" i="1" s="1"/>
  <c r="K2" i="1" s="1"/>
  <c r="A1" i="11" l="1" a="1"/>
  <c r="A1" i="11" s="1"/>
  <c r="A4" i="10"/>
  <c r="A5" i="10" l="1"/>
  <c r="A6" i="10" l="1"/>
  <c r="A7" i="10" l="1"/>
  <c r="A8" i="10" l="1"/>
  <c r="A9" i="10" l="1"/>
  <c r="A10" i="10" l="1"/>
  <c r="A11" i="10" l="1"/>
  <c r="A12" i="10" l="1"/>
  <c r="A13" i="10" l="1"/>
  <c r="A14" i="10" l="1"/>
  <c r="A15" i="10" l="1"/>
  <c r="A16" i="10" l="1"/>
  <c r="A17" i="10" l="1"/>
  <c r="A18" i="10" l="1"/>
  <c r="A19" i="10" l="1"/>
  <c r="A20" i="10" l="1"/>
  <c r="A21" i="10" l="1"/>
  <c r="A22" i="10" l="1"/>
  <c r="A23" i="10" l="1"/>
  <c r="A24" i="10" l="1"/>
  <c r="A25" i="10" l="1"/>
  <c r="A26" i="10" l="1"/>
  <c r="A27" i="10" l="1"/>
  <c r="A28" i="10" l="1"/>
  <c r="A29" i="10" l="1"/>
  <c r="A30" i="10" l="1"/>
  <c r="A31" i="10" l="1"/>
  <c r="A32" i="10" l="1"/>
  <c r="A33" i="10" l="1"/>
  <c r="A34" i="10" l="1"/>
  <c r="A35" i="10" l="1"/>
  <c r="A36" i="10" l="1"/>
  <c r="A37" i="10" l="1"/>
  <c r="A38" i="10" l="1"/>
  <c r="A39" i="10" l="1"/>
  <c r="A40" i="10" l="1"/>
  <c r="A41" i="10" l="1"/>
  <c r="A42" i="10" l="1"/>
  <c r="A43" i="10" l="1"/>
  <c r="A44" i="10" l="1"/>
  <c r="A45" i="10" l="1"/>
  <c r="A46" i="10" l="1"/>
  <c r="A47" i="10" l="1"/>
  <c r="A48" i="10" l="1"/>
  <c r="A49" i="10" l="1"/>
  <c r="A50" i="10" l="1"/>
  <c r="A51" i="10" l="1"/>
  <c r="A52" i="10" l="1"/>
  <c r="A53" i="10" l="1"/>
  <c r="A54" i="10" l="1"/>
  <c r="A55" i="10" l="1"/>
  <c r="A56" i="10" l="1"/>
  <c r="A57" i="10" l="1"/>
  <c r="A58" i="10" l="1"/>
  <c r="A59" i="10" l="1"/>
  <c r="A60" i="10" l="1"/>
  <c r="A61" i="10" l="1"/>
  <c r="A62" i="10" l="1"/>
  <c r="A63" i="10" l="1"/>
  <c r="A64" i="10" l="1"/>
  <c r="A65" i="10" l="1"/>
  <c r="A66" i="10" l="1"/>
  <c r="A67" i="10" l="1"/>
  <c r="A68" i="10" l="1"/>
  <c r="A69" i="10" l="1"/>
  <c r="A70" i="10" l="1"/>
  <c r="A71" i="10" l="1"/>
  <c r="A72" i="10" l="1"/>
  <c r="A73" i="10" l="1"/>
  <c r="A74" i="10" l="1"/>
  <c r="A75" i="10" l="1"/>
  <c r="A76" i="10" l="1"/>
  <c r="A77" i="10" l="1"/>
  <c r="A78" i="10" l="1"/>
  <c r="A79" i="10" l="1"/>
  <c r="A80" i="10" l="1"/>
  <c r="A81" i="10" l="1"/>
  <c r="A82" i="10" l="1"/>
  <c r="A83" i="10" l="1"/>
  <c r="A84" i="10" l="1"/>
  <c r="A85" i="10" l="1"/>
  <c r="A86" i="10" l="1"/>
  <c r="A87" i="10" l="1"/>
  <c r="A88" i="10" l="1"/>
  <c r="A89" i="10" l="1"/>
  <c r="A90" i="10" l="1"/>
  <c r="A91" i="10" l="1"/>
  <c r="A92" i="10" l="1"/>
  <c r="A93" i="10" l="1"/>
  <c r="A94" i="10" l="1"/>
  <c r="A95" i="10" l="1"/>
  <c r="A96" i="10" l="1"/>
  <c r="A97" i="10" l="1"/>
  <c r="A98" i="10" l="1"/>
  <c r="A99" i="10" l="1"/>
  <c r="A100" i="10" l="1"/>
  <c r="A101" i="10" l="1"/>
  <c r="A102" i="10" l="1"/>
  <c r="A103" i="10" l="1"/>
  <c r="A104" i="10" l="1"/>
  <c r="A105" i="10" l="1"/>
  <c r="A106" i="10" l="1"/>
  <c r="A107" i="10" l="1"/>
  <c r="A108" i="10" l="1"/>
  <c r="A109" i="10" l="1"/>
  <c r="A110" i="10" l="1"/>
  <c r="A111" i="10" l="1"/>
  <c r="A112" i="10" l="1"/>
  <c r="A113" i="10" l="1"/>
  <c r="A114" i="10" l="1"/>
  <c r="A115" i="10" l="1"/>
  <c r="A116" i="10" l="1"/>
  <c r="A117" i="10" l="1"/>
  <c r="A118" i="10" l="1"/>
  <c r="A119" i="10" l="1"/>
  <c r="A120" i="10" l="1"/>
  <c r="A121" i="10" l="1"/>
  <c r="A122" i="10" l="1"/>
  <c r="A123" i="10" l="1"/>
  <c r="A124" i="10" l="1"/>
  <c r="A125" i="10" l="1"/>
  <c r="A126" i="10" l="1"/>
  <c r="A127" i="10" l="1"/>
  <c r="A128" i="10" l="1"/>
  <c r="A129" i="10" l="1"/>
  <c r="A130" i="10" l="1"/>
  <c r="A131" i="10" l="1"/>
  <c r="A132" i="10" l="1"/>
  <c r="A133" i="10" l="1"/>
  <c r="A134" i="10" l="1"/>
  <c r="A135" i="10" l="1"/>
  <c r="A136" i="10" l="1"/>
  <c r="A137" i="10" l="1"/>
  <c r="A138" i="10" l="1"/>
  <c r="A139" i="10" l="1"/>
  <c r="A140" i="10" l="1"/>
  <c r="A141" i="10" l="1"/>
  <c r="A142" i="10" l="1"/>
  <c r="A143" i="10" l="1"/>
  <c r="A144" i="10" l="1"/>
  <c r="A145" i="10" l="1"/>
  <c r="A146" i="10" l="1"/>
  <c r="A147" i="10" l="1"/>
  <c r="A148" i="10" l="1"/>
  <c r="A149" i="10" l="1"/>
  <c r="A150" i="10" l="1"/>
  <c r="A151" i="10" l="1"/>
  <c r="A152" i="10" l="1"/>
  <c r="A153" i="10" l="1"/>
  <c r="A154" i="10" l="1"/>
  <c r="A155" i="10" l="1"/>
  <c r="A156" i="10" l="1"/>
  <c r="A157" i="10" l="1"/>
  <c r="A158" i="10" l="1"/>
  <c r="A159" i="10" l="1"/>
  <c r="A160" i="10" l="1"/>
  <c r="A161" i="10" l="1"/>
  <c r="A162" i="10" l="1"/>
  <c r="A163" i="10" l="1"/>
  <c r="A164" i="10" l="1"/>
  <c r="A165" i="10" l="1"/>
  <c r="A166" i="10" l="1"/>
  <c r="A167" i="10" l="1"/>
  <c r="A168" i="10" l="1"/>
  <c r="A169" i="10" l="1"/>
  <c r="A170" i="10" l="1"/>
  <c r="A171" i="10" l="1"/>
  <c r="A172" i="10" l="1"/>
  <c r="A173" i="10" l="1"/>
  <c r="A174" i="10" l="1"/>
  <c r="A175" i="10" l="1"/>
  <c r="A176" i="10" l="1"/>
  <c r="A177" i="10" l="1"/>
  <c r="A178" i="10" l="1"/>
  <c r="A179" i="10" l="1"/>
  <c r="A180" i="10" l="1"/>
  <c r="A181" i="10" l="1"/>
  <c r="A182" i="10" l="1"/>
  <c r="A183" i="10" l="1"/>
  <c r="A184" i="10" l="1"/>
  <c r="A185" i="10" l="1"/>
  <c r="A186" i="10" l="1"/>
  <c r="A187" i="10" l="1"/>
  <c r="A188" i="10" l="1"/>
  <c r="A189" i="10" l="1"/>
  <c r="A190" i="10" l="1"/>
  <c r="A191" i="10" l="1"/>
  <c r="A192" i="10" l="1"/>
  <c r="A193" i="10" l="1"/>
  <c r="A194" i="10" l="1"/>
  <c r="A195" i="10" l="1"/>
  <c r="A196" i="10" l="1"/>
  <c r="A197" i="10" l="1"/>
  <c r="A198" i="10" l="1"/>
  <c r="A199" i="10" l="1"/>
  <c r="A200" i="10" l="1"/>
  <c r="A201" i="10" l="1"/>
  <c r="A202" i="10" l="1"/>
  <c r="A203" i="10" l="1"/>
  <c r="A204" i="10" l="1"/>
  <c r="A205" i="10" l="1"/>
  <c r="A206" i="10" l="1"/>
  <c r="A207" i="10" l="1"/>
  <c r="A208" i="10" l="1"/>
  <c r="A209" i="10" l="1"/>
  <c r="A210" i="10" l="1"/>
  <c r="A211" i="10" l="1"/>
  <c r="A212" i="10" l="1"/>
  <c r="A213" i="10" l="1"/>
  <c r="A214" i="10" l="1"/>
  <c r="A215" i="10" l="1"/>
  <c r="A216" i="10" l="1"/>
  <c r="A217" i="10" l="1"/>
  <c r="A218" i="10" l="1"/>
  <c r="A219" i="10" l="1"/>
  <c r="A220" i="10" l="1"/>
  <c r="A221" i="10" l="1"/>
  <c r="A222" i="10" l="1"/>
  <c r="A223" i="10" l="1"/>
  <c r="A224" i="10" l="1"/>
  <c r="A225" i="10" l="1"/>
  <c r="A226" i="10" l="1"/>
  <c r="A227" i="10" l="1"/>
  <c r="A228" i="10" l="1"/>
  <c r="A229" i="10" l="1"/>
  <c r="A230" i="10" l="1"/>
  <c r="A231" i="10" l="1"/>
  <c r="A232" i="10" l="1"/>
  <c r="A233" i="10" l="1"/>
  <c r="A234" i="10" l="1"/>
  <c r="A235" i="10" l="1"/>
  <c r="A236" i="10" l="1"/>
  <c r="A237" i="10" l="1"/>
  <c r="A238" i="10" l="1"/>
  <c r="A239" i="10" l="1"/>
  <c r="A240" i="10" l="1"/>
  <c r="A241" i="10" l="1"/>
  <c r="A242" i="10" l="1"/>
  <c r="A243" i="10" l="1"/>
  <c r="A244" i="10" l="1"/>
  <c r="A245" i="10" l="1"/>
  <c r="A246" i="10" l="1"/>
  <c r="A247" i="10" l="1"/>
  <c r="A248" i="10" l="1"/>
  <c r="A249" i="10" l="1"/>
  <c r="A250" i="10" l="1"/>
  <c r="A251" i="10" l="1"/>
  <c r="A252" i="10" l="1"/>
  <c r="A253" i="10" l="1"/>
  <c r="A254" i="10" l="1"/>
  <c r="A255" i="10" l="1"/>
  <c r="A256" i="10" l="1"/>
  <c r="A257" i="10" l="1"/>
  <c r="A258" i="10" l="1"/>
  <c r="A259" i="10" l="1"/>
  <c r="A260" i="10" l="1"/>
  <c r="A261" i="10" l="1"/>
  <c r="A262" i="10" l="1"/>
  <c r="A263" i="10" l="1"/>
  <c r="A264" i="10" l="1"/>
  <c r="A265" i="10" l="1"/>
  <c r="A266" i="10" l="1"/>
  <c r="A267" i="10" l="1"/>
  <c r="A268" i="10" l="1"/>
  <c r="A269" i="10" l="1"/>
  <c r="A270" i="10" l="1"/>
  <c r="A271" i="10" l="1"/>
  <c r="A272" i="10" l="1"/>
  <c r="A273" i="10" l="1"/>
  <c r="A274" i="10" l="1"/>
  <c r="A275" i="10" l="1"/>
  <c r="A276" i="10" l="1"/>
  <c r="A277" i="10" l="1"/>
  <c r="A278" i="10" l="1"/>
  <c r="A279" i="10" l="1"/>
  <c r="A280" i="10" l="1"/>
  <c r="A281" i="10" l="1"/>
  <c r="A282" i="10" l="1"/>
  <c r="A283" i="10" l="1"/>
  <c r="A284" i="10" l="1"/>
  <c r="A285" i="10" l="1"/>
  <c r="A286" i="10" l="1"/>
  <c r="A287" i="10" l="1"/>
  <c r="A288" i="10" l="1"/>
  <c r="A289" i="10" l="1"/>
  <c r="A290" i="10" l="1"/>
  <c r="A291" i="10" l="1"/>
  <c r="A292" i="10" l="1"/>
  <c r="A293" i="10" l="1"/>
  <c r="A294" i="10" l="1"/>
  <c r="A295" i="10" l="1"/>
  <c r="A296" i="10" l="1"/>
  <c r="A297" i="10" l="1"/>
  <c r="A298" i="10" l="1"/>
  <c r="A299" i="10" l="1"/>
  <c r="A300" i="10" l="1"/>
  <c r="A301" i="10" l="1"/>
  <c r="A302" i="10" l="1"/>
  <c r="A303" i="10" l="1"/>
  <c r="A304" i="10" l="1"/>
  <c r="A305" i="10" l="1"/>
  <c r="A306" i="10" l="1"/>
  <c r="A307" i="10" l="1"/>
  <c r="A308" i="10" l="1"/>
  <c r="A309" i="10" l="1"/>
  <c r="A310" i="10" l="1"/>
  <c r="A311" i="10" l="1"/>
  <c r="A312" i="10" l="1"/>
  <c r="A313" i="10" l="1"/>
  <c r="A314" i="10" l="1"/>
  <c r="A315" i="10" l="1"/>
  <c r="A316" i="10" l="1"/>
  <c r="A317" i="10" l="1"/>
  <c r="A318" i="10" l="1"/>
  <c r="A319" i="10" l="1"/>
  <c r="A320" i="10" l="1"/>
  <c r="A321" i="10" l="1"/>
  <c r="A322" i="10" l="1"/>
  <c r="A323" i="10" l="1"/>
  <c r="A324" i="10" l="1"/>
  <c r="A325" i="10" l="1"/>
  <c r="A326" i="10" l="1"/>
  <c r="A327" i="10" l="1"/>
  <c r="A328" i="10" l="1"/>
  <c r="A329" i="10" l="1"/>
  <c r="A330" i="10" l="1"/>
  <c r="A331" i="10" l="1"/>
  <c r="A332" i="10" l="1"/>
  <c r="A333" i="10" l="1"/>
  <c r="A334" i="10" l="1"/>
  <c r="A335" i="10" l="1"/>
  <c r="A336" i="10" l="1"/>
  <c r="A337" i="10" l="1"/>
  <c r="A338" i="10" l="1"/>
  <c r="A339" i="10" l="1"/>
  <c r="A340" i="10" l="1"/>
  <c r="A341" i="10" l="1"/>
  <c r="A342" i="10" l="1"/>
  <c r="A343" i="10" l="1"/>
  <c r="A344" i="10" l="1"/>
  <c r="A345" i="10" l="1"/>
  <c r="A346" i="10" l="1"/>
  <c r="A347" i="10" l="1"/>
  <c r="A348" i="10" l="1"/>
  <c r="A349" i="10" l="1"/>
  <c r="A350" i="10" l="1"/>
  <c r="A351" i="10" l="1"/>
  <c r="A352" i="10" l="1"/>
  <c r="A353" i="10" l="1"/>
  <c r="A354" i="10" l="1"/>
  <c r="A355" i="10" l="1"/>
  <c r="A356" i="10" l="1"/>
  <c r="A357" i="10" l="1"/>
  <c r="A358" i="10" l="1"/>
  <c r="A359" i="10" l="1"/>
  <c r="A360" i="10" l="1"/>
  <c r="A361" i="10" l="1"/>
  <c r="A362" i="10" l="1"/>
  <c r="A363" i="10" l="1"/>
  <c r="A364" i="10" l="1"/>
  <c r="A365" i="10" l="1"/>
  <c r="A366" i="10" l="1"/>
  <c r="A367" i="10" l="1"/>
  <c r="A368"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tc={11BCD73B-5471-468E-9323-7B360C9A53FC}</author>
    <author>tc={6AC98310-608B-4A4F-AAB9-00C92DBD1F94}</author>
    <author>tc={51BA5190-D189-4CF2-978A-A19302B1D13A}</author>
    <author>tc={FAAD5194-566C-4BB8-8D3E-896DCF308E02}</author>
    <author>tc={1626CFCA-9571-4456-9A9C-1952BD7ECB87}</author>
    <author>tc={DFCBC11A-947D-419B-8C6E-80B6E3F7B9BD}</author>
    <author>tc={84767610-6819-4BB9-B936-392BC8F86574}</author>
    <author>tc={C4CE1E17-E1A0-4510-99AC-638B8ED5E186}</author>
    <author>tc={67882D14-894E-469B-931F-1E1826EA21F1}</author>
    <author>tc={56FD0ADA-BE61-49CB-AC02-F1875F30F0D8}</author>
    <author>tc={E2F8A146-8EBD-4A49-98E1-33D7E88ACBDF}</author>
    <author>tc={A86D5D8E-275D-461B-AD9E-F5F9FC083B08}</author>
    <author>tc={6BDD4FBC-2D3A-4015-BD67-B7735BC9CCAF}</author>
    <author>tc={54F9D168-4D42-48C9-AACD-C1EB49BF1528}</author>
  </authors>
  <commentList>
    <comment ref="M19" authorId="0" shapeId="0" xr:uid="{11BCD73B-5471-468E-9323-7B360C9A53FC}">
      <text>
        <t>[Threaded comment]
Your version of Excel allows you to read this threaded comment; however, any edits to it will get removed if the file is opened in a newer version of Excel. Learn more: https://go.microsoft.com/fwlink/?linkid=870924
Comment:
    On 17th Dec, TL Inez checked with OC: SI Sazali's OL slot freed up for SGT(3) Yi Liang to take over OL slot. OC is agreeable to free up the OL slot for officer.</t>
      </text>
    </comment>
    <comment ref="M94" authorId="1" shapeId="0" xr:uid="{6AC98310-608B-4A4F-AAB9-00C92DBD1F94}">
      <text>
        <t>[Threaded comment]
Your version of Excel allows you to read this threaded comment; however, any edits to it will get removed if the file is opened in a newer version of Excel. Learn more: https://go.microsoft.com/fwlink/?linkid=870924
Comment:
    On 17th Dec, TL Inez checked with OC: SI Sazali's OL slot freed up for SGT(3) Yi Liang to take over OL slot. OC is agreeable to free up the OL slot for officer.</t>
      </text>
    </comment>
    <comment ref="M200" authorId="2" shapeId="0" xr:uid="{51BA5190-D189-4CF2-978A-A19302B1D13A}">
      <text>
        <t>[Threaded comment]
Your version of Excel allows you to read this threaded comment; however, any edits to it will get removed if the file is opened in a newer version of Excel. Learn more: https://go.microsoft.com/fwlink/?linkid=870924
Comment:
    On 17th Dec, TL Inez checked with OC: SI Sazali's OL slot freed up for SGT(3) Yi Liang to take over OL slot. OC is agreeable to free up the OL slot for officer.</t>
      </text>
    </comment>
    <comment ref="M249" authorId="3" shapeId="0" xr:uid="{FAAD5194-566C-4BB8-8D3E-896DCF308E02}">
      <text>
        <t>[Threaded comment]
Your version of Excel allows you to read this threaded comment; however, any edits to it will get removed if the file is opened in a newer version of Excel. Learn more: https://go.microsoft.com/fwlink/?linkid=870924
Comment:
    On 17th Dec, TL Inez checked with OC: SI Sazali's OL slot freed up for SGT(3) Yi Liang to take over OL slot. OC is agreeable to free up the OL slot for officer.</t>
      </text>
    </comment>
    <comment ref="M250" authorId="4" shapeId="0" xr:uid="{1626CFCA-9571-4456-9A9C-1952BD7ECB87}">
      <text>
        <t>[Threaded comment]
Your version of Excel allows you to read this threaded comment; however, any edits to it will get removed if the file is opened in a newer version of Excel. Learn more: https://go.microsoft.com/fwlink/?linkid=870924
Comment:
    On 17th Dec, TL Inez checked with OC: SI Sazali's OL slot freed up for SGT(3) Yi Liang to take over OL slot. OC is agreeable to free up the OL slot for officer.</t>
      </text>
    </comment>
    <comment ref="M315" authorId="5" shapeId="0" xr:uid="{DFCBC11A-947D-419B-8C6E-80B6E3F7B9BD}">
      <text>
        <t>[Threaded comment]
Your version of Excel allows you to read this threaded comment; however, any edits to it will get removed if the file is opened in a newer version of Excel. Learn more: https://go.microsoft.com/fwlink/?linkid=870924
Comment:
    On 17th Dec, TL Inez checked with OC: SI Sazali's OL slot freed up for SGT(3) Yi Liang to take over OL slot. OC is agreeable to free up the OL slot for officer.</t>
      </text>
    </comment>
    <comment ref="M316" authorId="6" shapeId="0" xr:uid="{84767610-6819-4BB9-B936-392BC8F86574}">
      <text>
        <t>[Threaded comment]
Your version of Excel allows you to read this threaded comment; however, any edits to it will get removed if the file is opened in a newer version of Excel. Learn more: https://go.microsoft.com/fwlink/?linkid=870924
Comment:
    On 17th Dec, TL Inez checked with OC: SI Sazali's OL slot freed up for SGT(3) Yi Liang to take over OL slot. OC is agreeable to free up the OL slot for officer.</t>
      </text>
    </comment>
    <comment ref="M333" authorId="7" shapeId="0" xr:uid="{C4CE1E17-E1A0-4510-99AC-638B8ED5E186}">
      <text>
        <t xml:space="preserve">[Threaded comment]
Your version of Excel allows you to read this threaded comment; however, any edits to it will get removed if the file is opened in a newer version of Excel. Learn more: https://go.microsoft.com/fwlink/?linkid=870924
Comment:
    On 17th Dec, TL Inez checked with OC: SI Sazali's OL slot freed up for SGT(3) Yi Liang to take over OL slot. OC is agreeable to free up the OL slot for officer.
</t>
      </text>
    </comment>
    <comment ref="M334" authorId="8" shapeId="0" xr:uid="{67882D14-894E-469B-931F-1E1826EA21F1}">
      <text>
        <t>[Threaded comment]
Your version of Excel allows you to read this threaded comment; however, any edits to it will get removed if the file is opened in a newer version of Excel. Learn more: https://go.microsoft.com/fwlink/?linkid=870924
Comment:
    On 17th Dec, TL Inez checked with OC: SI Sazali's OL slot freed up for SGT(3) Yi Liang to take over OL slot. OC is agreeable to free up the OL slot for officer.</t>
      </text>
    </comment>
    <comment ref="M335" authorId="9" shapeId="0" xr:uid="{56FD0ADA-BE61-49CB-AC02-F1875F30F0D8}">
      <text>
        <t xml:space="preserve">[Threaded comment]
Your version of Excel allows you to read this threaded comment; however, any edits to it will get removed if the file is opened in a newer version of Excel. Learn more: https://go.microsoft.com/fwlink/?linkid=870924
Comment:
    On 17th Dec, TL Inez checked with OC: SI Sazali's OL slot freed up for SGT(3) Yi Liang to take over OL slot. OC is agreeable to free up the OL slot for officer.
</t>
      </text>
    </comment>
    <comment ref="M336" authorId="10" shapeId="0" xr:uid="{E2F8A146-8EBD-4A49-98E1-33D7E88ACBDF}">
      <text>
        <t>[Threaded comment]
Your version of Excel allows you to read this threaded comment; however, any edits to it will get removed if the file is opened in a newer version of Excel. Learn more: https://go.microsoft.com/fwlink/?linkid=870924
Comment:
    On 17th Dec, TL Inez checked with OC: SI Sazali's OL slot freed up for SGT(3) Yi Liang to take over OL slot. OC is agreeable to free up the OL slot for officer.</t>
      </text>
    </comment>
    <comment ref="M337" authorId="11" shapeId="0" xr:uid="{A86D5D8E-275D-461B-AD9E-F5F9FC083B08}">
      <text>
        <t>[Threaded comment]
Your version of Excel allows you to read this threaded comment; however, any edits to it will get removed if the file is opened in a newer version of Excel. Learn more: https://go.microsoft.com/fwlink/?linkid=870924
Comment:
    On 17th Dec, TL Inez checked with OC: SI Sazali's OL slot freed up for SGT(3) Yi Liang to take over OL slot. OC is agreeable to free up the OL slot for officer.</t>
      </text>
    </comment>
    <comment ref="M338" authorId="12" shapeId="0" xr:uid="{6BDD4FBC-2D3A-4015-BD67-B7735BC9CCAF}">
      <text>
        <t>[Threaded comment]
Your version of Excel allows you to read this threaded comment; however, any edits to it will get removed if the file is opened in a newer version of Excel. Learn more: https://go.microsoft.com/fwlink/?linkid=870924
Comment:
    On 17th Dec, TL Inez checked with OC: SI Sazali's OL slot freed up for SGT(3) Yi Liang to take over OL slot. OC is agreeable to free up the OL slot for officer.</t>
      </text>
    </comment>
    <comment ref="M368" authorId="13" shapeId="0" xr:uid="{54F9D168-4D42-48C9-AACD-C1EB49BF1528}">
      <text>
        <t>[Threaded comment]
Your version of Excel allows you to read this threaded comment; however, any edits to it will get removed if the file is opened in a newer version of Excel. Learn more: https://go.microsoft.com/fwlink/?linkid=870924
Comment:
    Previously submitted on 19th Dec 2025</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<sst xmlns="http://schemas.openxmlformats.org/spreadsheetml/2006/main" count="2618" uniqueCount="357">
  <si>
    <t>Date of Submmision</t>
  </si>
  <si>
    <t>Scheme</t>
  </si>
  <si>
    <t>Rank</t>
  </si>
  <si>
    <t>Name of Officer applying for leave (Full Name)</t>
  </si>
  <si>
    <t>Country of Travel
Country, State</t>
  </si>
  <si>
    <t>Own Quota/ Borrowed Quota</t>
  </si>
  <si>
    <t>Date of Departure</t>
  </si>
  <si>
    <t>Date of Return</t>
  </si>
  <si>
    <t>Leave Approving Officer in HRP</t>
  </si>
  <si>
    <t>Unit's Leave Quota</t>
  </si>
  <si>
    <t>OC Approved?</t>
  </si>
  <si>
    <t>Remarks</t>
  </si>
  <si>
    <t>Reg</t>
  </si>
  <si>
    <t>SI</t>
  </si>
  <si>
    <t>Zainal Abideen Bin Abdul Wahid</t>
  </si>
  <si>
    <t>Malaysia, KL</t>
  </si>
  <si>
    <t>Own Quota</t>
  </si>
  <si>
    <t>INSP Tarmizi</t>
  </si>
  <si>
    <t xml:space="preserve">SI </t>
  </si>
  <si>
    <t>Shahril Bin Mohamed Faru</t>
  </si>
  <si>
    <t>Austria</t>
  </si>
  <si>
    <t>ASP Jonathan Ling</t>
  </si>
  <si>
    <t>Sgt(3)</t>
  </si>
  <si>
    <t>Mohd Khalid Bin Mohd Ariff</t>
  </si>
  <si>
    <t>London</t>
  </si>
  <si>
    <t>ASP Jannah Wong</t>
  </si>
  <si>
    <t>Tan Yi Xin</t>
  </si>
  <si>
    <t>Seoul, South Korea/ Tokyo, Japan</t>
  </si>
  <si>
    <t>ASP Tarmizi</t>
  </si>
  <si>
    <t>ASP(1)</t>
  </si>
  <si>
    <t>Christopher Tan</t>
  </si>
  <si>
    <t>China</t>
  </si>
  <si>
    <t>DSP Idil</t>
  </si>
  <si>
    <t>2nd (1st quota used); 3rd-8th (3rd quota used); 9th (2nd quota used)</t>
  </si>
  <si>
    <t xml:space="preserve">ASP(1) </t>
  </si>
  <si>
    <t>Wong Min, Jannah</t>
  </si>
  <si>
    <t>Malaysia (Cruise)</t>
  </si>
  <si>
    <t>ASP(2)</t>
  </si>
  <si>
    <t>Darrick Chew Wei Le</t>
  </si>
  <si>
    <t>China, Yunnan</t>
  </si>
  <si>
    <t>Japan, Hokkaido</t>
  </si>
  <si>
    <t>SSgt</t>
  </si>
  <si>
    <t>Muhammad Haidar Bin Tayib</t>
  </si>
  <si>
    <t>Malaysia Kelantan</t>
  </si>
  <si>
    <t>ASP Darrick Chew</t>
  </si>
  <si>
    <t xml:space="preserve">Reg </t>
  </si>
  <si>
    <t xml:space="preserve">Sgt(3) </t>
  </si>
  <si>
    <t>Lokman Bin Abdul Ghani</t>
  </si>
  <si>
    <t xml:space="preserve">Saudi Arabia </t>
  </si>
  <si>
    <t>ASP Christopher</t>
  </si>
  <si>
    <t>Sgt(2)</t>
  </si>
  <si>
    <t>Chan Wei Jie</t>
  </si>
  <si>
    <t>Desaru</t>
  </si>
  <si>
    <t>8th and 9th (5th quota), 10th and 11th (4th quota)</t>
  </si>
  <si>
    <t>Penang, Malaysia</t>
  </si>
  <si>
    <t>SSSgt</t>
  </si>
  <si>
    <t>Jacqueline Quek Jie Lin</t>
  </si>
  <si>
    <t>Malaysia, Desaru</t>
  </si>
  <si>
    <t>DSP Choo Yi Jie</t>
  </si>
  <si>
    <t>Philson Ang Hong Giap</t>
  </si>
  <si>
    <t>South Korea, Seoul</t>
  </si>
  <si>
    <t>13 Feb (2nd quota used)</t>
  </si>
  <si>
    <t>Armizat Bin Saini</t>
  </si>
  <si>
    <t>Saudi Arabia</t>
  </si>
  <si>
    <t>1-9 Mar (1st quota used)</t>
  </si>
  <si>
    <t>Mohammad 'Isa Bin Abdul Ghafar</t>
  </si>
  <si>
    <t>Indonesia</t>
  </si>
  <si>
    <t>Muhammad Sazali Bin Samaludin</t>
  </si>
  <si>
    <t>Malaysia / Thailand</t>
  </si>
  <si>
    <t>Borrowed Quota</t>
  </si>
  <si>
    <t>As of 17th Dec, Officer quota at Ops [Please view comment]</t>
  </si>
  <si>
    <t xml:space="preserve">M Faiz Fazely </t>
  </si>
  <si>
    <t>9th (using 6th quota), 10th - 11th (using 5th quota), 12th (using 4th quota), 13th (using 3rd quota)</t>
  </si>
  <si>
    <t>Alvin Wee Han Kuang</t>
  </si>
  <si>
    <t>Faizal Toh</t>
  </si>
  <si>
    <t>Thailand</t>
  </si>
  <si>
    <t>18-20, 23-26 (1st quota) / 21-22 (0 quota)</t>
  </si>
  <si>
    <t>Malaysia, JB</t>
  </si>
  <si>
    <t>JB Day Trip, 1st quota</t>
  </si>
  <si>
    <t>Lim Rong Hoe</t>
  </si>
  <si>
    <t>Malaysia</t>
  </si>
  <si>
    <t>ASP Christopher Tan</t>
  </si>
  <si>
    <t>16th Jan (using 3rd quota), 17th-18th Jan (using 4th quota)</t>
  </si>
  <si>
    <t>27th-28 Feb (using 2nd quota), 1st Mar (using 3rd quota)</t>
  </si>
  <si>
    <t>Lai Shang Yu</t>
  </si>
  <si>
    <t>ASP Marah</t>
  </si>
  <si>
    <t>17-18(3rd quota used)</t>
  </si>
  <si>
    <t>6-10(2nd quota used)</t>
  </si>
  <si>
    <t>22-23(3rd quota used)</t>
  </si>
  <si>
    <t>Malaysia, Malacca</t>
  </si>
  <si>
    <t>5-9 Mar(2nd quota used)</t>
  </si>
  <si>
    <t>Chionh Jia Ru, Jared</t>
  </si>
  <si>
    <t>Wong Jia Wen, Jovi</t>
  </si>
  <si>
    <t>Japan</t>
  </si>
  <si>
    <t>ASP Darrick</t>
  </si>
  <si>
    <t>Faizal Minggu</t>
  </si>
  <si>
    <t>JB Day trip, 6th Quota</t>
  </si>
  <si>
    <t>JB Day trip, 3rd Quota</t>
  </si>
  <si>
    <t>JB Day Trip, 2nd quota</t>
  </si>
  <si>
    <t>JB Day Trip, 0th quota</t>
  </si>
  <si>
    <t>Bangkok</t>
  </si>
  <si>
    <t xml:space="preserve">Mohammad Rohaizat Bin Abu Bakar </t>
  </si>
  <si>
    <t xml:space="preserve">DSP Idil </t>
  </si>
  <si>
    <t>Aelma Sheiqa Binte Mohamed Padillah</t>
  </si>
  <si>
    <t>(Cancelled due to GE)</t>
  </si>
  <si>
    <t xml:space="preserve">Malaysia, JB </t>
  </si>
  <si>
    <t xml:space="preserve">ASP Christopher Tan </t>
  </si>
  <si>
    <t>Muhammad Shafik Bin Jumadi</t>
  </si>
  <si>
    <t>Marah Ishraf</t>
  </si>
  <si>
    <t>Bintan, Indonesia</t>
  </si>
  <si>
    <t xml:space="preserve">Malaysia, Genting </t>
  </si>
  <si>
    <t>Perth</t>
  </si>
  <si>
    <t>23rd - 27th May - 2nd Quota, 28th - 31st -  1st Quota</t>
  </si>
  <si>
    <t>JB Day Trip</t>
  </si>
  <si>
    <t xml:space="preserve">ASP </t>
  </si>
  <si>
    <t>South Korea</t>
  </si>
  <si>
    <t>Mohd Irfan Shah</t>
  </si>
  <si>
    <t>Vietnam</t>
  </si>
  <si>
    <t>Malaysia KL</t>
  </si>
  <si>
    <t>Indonesia, Bali</t>
  </si>
  <si>
    <t>ASP</t>
  </si>
  <si>
    <t>Zainal Abideen</t>
  </si>
  <si>
    <t>Jakarta</t>
  </si>
  <si>
    <t>Qamarul Fitri Bin Jeffrey</t>
  </si>
  <si>
    <t>Nepal</t>
  </si>
  <si>
    <t xml:space="preserve">Malaysia, KL </t>
  </si>
  <si>
    <t>JB Day Trip (4th Quota)</t>
  </si>
  <si>
    <t xml:space="preserve">Krishna S/O Jeyaseelan </t>
  </si>
  <si>
    <t>21-22 (1st Quota), 22-23 (6th Quota)</t>
  </si>
  <si>
    <t>Faiz Fazely Bin Zulkifli</t>
  </si>
  <si>
    <t>Malayia, JB</t>
  </si>
  <si>
    <t>5th march (using 4 quota), 6th March (using 5th quota)</t>
  </si>
  <si>
    <t>Krishna S/O Jeyaseelan</t>
  </si>
  <si>
    <t>Jerome Heah</t>
  </si>
  <si>
    <t>Tay Kah Jun</t>
  </si>
  <si>
    <t xml:space="preserve">ASP Marah </t>
  </si>
  <si>
    <t>Malaysia/ JB</t>
  </si>
  <si>
    <t>DSP</t>
  </si>
  <si>
    <t>Choo Yi Jie</t>
  </si>
  <si>
    <t>Malaysia, Johor</t>
  </si>
  <si>
    <t>Tan Yi Liang</t>
  </si>
  <si>
    <t>Nuriskandar Bin Ahmad</t>
  </si>
  <si>
    <t>Indonesia, Batam</t>
  </si>
  <si>
    <t>Malaysia, Kuala Lumpur</t>
  </si>
  <si>
    <t>Hong Kong</t>
  </si>
  <si>
    <t>[Please view comment]</t>
  </si>
  <si>
    <t>22 May (using 2nd quota); 23-26 May (using 4th quota)</t>
  </si>
  <si>
    <t>Muhamad Sufian Bin Mohamed Naim</t>
  </si>
  <si>
    <t>INSP Hannah Ong</t>
  </si>
  <si>
    <t>Faizal Bin Mohamad Minggu</t>
  </si>
  <si>
    <t>Malaysia, Johor Bahru</t>
  </si>
  <si>
    <t>Insp Inez Hor</t>
  </si>
  <si>
    <t>NIL</t>
  </si>
  <si>
    <t>Shawn will be in JB for the mentioned period as his wife will be having her confinement in JB. He will be taking paternity leave during this period.</t>
  </si>
  <si>
    <t>Insp Hannah Ong</t>
  </si>
  <si>
    <t>Nil</t>
  </si>
  <si>
    <t>Faizal Bin Mohammad Minggu</t>
  </si>
  <si>
    <t>Malaysia, Penang</t>
  </si>
  <si>
    <t>Inez Hor</t>
  </si>
  <si>
    <t>NA</t>
  </si>
  <si>
    <t>Hannah Ong</t>
  </si>
  <si>
    <t>SSS</t>
  </si>
  <si>
    <t>Batam</t>
  </si>
  <si>
    <t>Bintan</t>
  </si>
  <si>
    <t>Thailand, Bangkok</t>
  </si>
  <si>
    <t>Insp(2) Inez Hor</t>
  </si>
  <si>
    <t>Rohaizat</t>
  </si>
  <si>
    <t>Korea</t>
  </si>
  <si>
    <t>Using 1st quota</t>
  </si>
  <si>
    <t>Lim Poh Ming Jacky</t>
  </si>
  <si>
    <t>Ong Xue Wen, Hannah</t>
  </si>
  <si>
    <t>Jb</t>
  </si>
  <si>
    <t>Na</t>
  </si>
  <si>
    <t>SGT(3)</t>
  </si>
  <si>
    <t>Muhammad Irfan Shah</t>
  </si>
  <si>
    <t>Muhammad Dafir Bin Abdul Alim</t>
  </si>
  <si>
    <t>Kanchanaburi, Thailand</t>
  </si>
  <si>
    <t>ASP Darrick Chew Wei Le</t>
  </si>
  <si>
    <t>Shahril</t>
  </si>
  <si>
    <t>Using 6th quota</t>
  </si>
  <si>
    <t>Mohamad Faizal Bin Hashim Toh</t>
  </si>
  <si>
    <t>Japan, Tokyo</t>
  </si>
  <si>
    <t>-</t>
  </si>
  <si>
    <t>Muhammad Idil</t>
  </si>
  <si>
    <t>Malaysia, Terengganu</t>
  </si>
  <si>
    <t>Bali</t>
  </si>
  <si>
    <t>Using 2nd quota from 14 July to 17 July; using 3rd quota on 18 July.</t>
  </si>
  <si>
    <t>JB</t>
  </si>
  <si>
    <t>MOHAMAD FAIZ FAZELY BIN ZULKIFLI</t>
  </si>
  <si>
    <t>Johor Bahru</t>
  </si>
  <si>
    <t>Approved</t>
  </si>
  <si>
    <t>Singapore</t>
  </si>
  <si>
    <t>1st off</t>
  </si>
  <si>
    <t>Day Trip</t>
  </si>
  <si>
    <t>Kuala Lumpur</t>
  </si>
  <si>
    <t>SGT3</t>
  </si>
  <si>
    <t>Mohamad Faiz Fazely Bin Zulkifli</t>
  </si>
  <si>
    <t>Sgt 3</t>
  </si>
  <si>
    <t>Malaysia, Johore Bahru</t>
  </si>
  <si>
    <t>Christopher Tan Kai Jie</t>
  </si>
  <si>
    <t>Using 3rd Quota</t>
  </si>
  <si>
    <t>Previously applied from 11-14 July (already approved). Extending 1 more day to 15 July.</t>
  </si>
  <si>
    <t>MOHAMAD FAIZ FAZELY</t>
  </si>
  <si>
    <t>Using 3rd quota</t>
  </si>
  <si>
    <t>Lokman</t>
  </si>
  <si>
    <t>Using 2nd quota</t>
  </si>
  <si>
    <t>Malaysia JB</t>
  </si>
  <si>
    <t>2nd off day trip</t>
  </si>
  <si>
    <t>NIL - Applied under Jannah previously</t>
  </si>
  <si>
    <t>Malaysia, Tioman</t>
  </si>
  <si>
    <t>Insp(2)</t>
  </si>
  <si>
    <t>Europe, Switzerland/Italy/France/Germany</t>
  </si>
  <si>
    <t>Muhammad Idil Bin Ali Zainal Abidin</t>
  </si>
  <si>
    <t>UK</t>
  </si>
  <si>
    <t>Nil- previously applied under Jannah</t>
  </si>
  <si>
    <t>Malaysia and Thailand</t>
  </si>
  <si>
    <t>Using 4th quota</t>
  </si>
  <si>
    <t>Mohammad ‘Isa Bin Abdul Ghafar</t>
  </si>
  <si>
    <t>Aelma Sheiqa Binte Mohamed Padilah</t>
  </si>
  <si>
    <t>Day trip</t>
  </si>
  <si>
    <t>Taufiq Bin Ishak</t>
  </si>
  <si>
    <t>SGT</t>
  </si>
  <si>
    <t>Using 1st quota from 30 Aug to 4 Sep, 3rd quota on 5 Sep, 4th quota from 6 Sep to 7 sep</t>
  </si>
  <si>
    <t>JB Day Trip only. Just PTLS.</t>
  </si>
  <si>
    <t>Haiqal</t>
  </si>
  <si>
    <t>Genting</t>
  </si>
  <si>
    <t>Using 3rd quota on 15th and 17th Sep; using 2nd quota on 16th Sep</t>
  </si>
  <si>
    <t>Taiwan, Taipei</t>
  </si>
  <si>
    <t>Mohamad Faiz Fazely</t>
  </si>
  <si>
    <t>Malaysia Genting</t>
  </si>
  <si>
    <t>Sgt3</t>
  </si>
  <si>
    <t>Faiz</t>
  </si>
  <si>
    <t>Using 3rd quota on 9 July and 2nd quota on 10 July</t>
  </si>
  <si>
    <t>China, Guangzhou</t>
  </si>
  <si>
    <t>Previously submitted as day trip, but officer had adjusted the dates, hence is now the 4th person.</t>
  </si>
  <si>
    <t>China, Shanghai</t>
  </si>
  <si>
    <t>Using 2nd Quota</t>
  </si>
  <si>
    <t>Shahril M Faru</t>
  </si>
  <si>
    <t>Shawn Lai</t>
  </si>
  <si>
    <t>Theophilia Koay Ying Qi</t>
  </si>
  <si>
    <t>NIL [Please view comment]</t>
  </si>
  <si>
    <t>DSP Muhammad Idil</t>
  </si>
  <si>
    <t>INSP</t>
  </si>
  <si>
    <t>Seoul, Korea</t>
  </si>
  <si>
    <t>Muhammad Idil Bin Ali</t>
  </si>
  <si>
    <t>Mohammad Rohaizat Bin Abu Bakar</t>
  </si>
  <si>
    <t>Johore Baharu</t>
  </si>
  <si>
    <t>Shanghai, China</t>
  </si>
  <si>
    <t>5th on 23/12, 4th from 27/12-29/12, 3rd on 24/12, 26/12, 30/12, 2nd on 25/12</t>
  </si>
  <si>
    <t>Malaysia Tioman</t>
  </si>
  <si>
    <t>Using 4th quota on 15 Sep, 3rd quota on 16 Sep, 4th Quota on 17 Sep, 3rd quota on 18 Sep</t>
  </si>
  <si>
    <t>Christoper Tan</t>
  </si>
  <si>
    <t>Siargao, Philippines</t>
  </si>
  <si>
    <t>MALAYSIA, JOHOR</t>
  </si>
  <si>
    <t>CHRISTOPHER TAN</t>
  </si>
  <si>
    <t>Batam, Indonesia</t>
  </si>
  <si>
    <t>2nd officer on OL for 24 &amp; 25 October, 3rd officer on OL for 26 October</t>
  </si>
  <si>
    <t>Tan Yixin</t>
  </si>
  <si>
    <t>As approved by my supervisor</t>
  </si>
  <si>
    <t>MALAYSIA, JOHOR BAHRU</t>
  </si>
  <si>
    <t>Using 3rd</t>
  </si>
  <si>
    <t>Wong Jia Wen Jovi</t>
  </si>
  <si>
    <t>Fukuoka, Japan</t>
  </si>
  <si>
    <t>SS</t>
  </si>
  <si>
    <t>JB, Malaysia</t>
  </si>
  <si>
    <t>Sgt</t>
  </si>
  <si>
    <t>Irfan Shah Rohajat</t>
  </si>
  <si>
    <t>Day trip after work</t>
  </si>
  <si>
    <t>Using 2nd quota from 22nd Jan to 29th Jan, 1st quota from 30th Jan to 1st Feb</t>
  </si>
  <si>
    <t>5th officer on 15/12 and 18/12 [Please view comment]</t>
  </si>
  <si>
    <t>As approved by my supervisor.</t>
  </si>
  <si>
    <t>Using 1st quota on 25 Sep, 2nd quota from 26 Sep to 29 sep</t>
  </si>
  <si>
    <t>Europe</t>
  </si>
  <si>
    <t>Johor</t>
  </si>
  <si>
    <t>Using 5th quota</t>
  </si>
  <si>
    <t>INSP Theophilia Koay Ying Qi</t>
  </si>
  <si>
    <t>Malaysia, Johore Baharu</t>
  </si>
  <si>
    <t>SGT(2)</t>
  </si>
  <si>
    <t>Istanbul / Dublin</t>
  </si>
  <si>
    <t>3rd Quota</t>
  </si>
  <si>
    <t>Insp(2) Inez</t>
  </si>
  <si>
    <t>Sgt2</t>
  </si>
  <si>
    <t>Lily Karmilia Binte Khusaini</t>
  </si>
  <si>
    <t>3rd officer for day trip</t>
  </si>
  <si>
    <t>Ssgt</t>
  </si>
  <si>
    <t>KL, Malaysia</t>
  </si>
  <si>
    <t>3rd officer on 21 &amp; 22, 4th on 23 &amp; 24</t>
  </si>
  <si>
    <t>1st officer on day trip</t>
  </si>
  <si>
    <t xml:space="preserve"> </t>
  </si>
  <si>
    <t>KL</t>
  </si>
  <si>
    <t>Using 3rd quota on 13 and 14 Nov, 2nd quota on 15 and 16 Nov</t>
  </si>
  <si>
    <t>SGT 3</t>
  </si>
  <si>
    <t>LOKMAN BIN ABDUL GHANI</t>
  </si>
  <si>
    <t>Using 5th</t>
  </si>
  <si>
    <t>Philippines, Manila</t>
  </si>
  <si>
    <t>Seoul, Korea &amp; Da Lat, Vietnam</t>
  </si>
  <si>
    <t>Changed country destination. 6/12 to 11/12 in Seoul. 11/12 to 17/12 in Da Lat.</t>
  </si>
  <si>
    <t>Irfan Shah</t>
  </si>
  <si>
    <t>Previously approved 11-16, extending by extra day on 17 (2nd off)</t>
  </si>
  <si>
    <t>Take note that the PTLS is made for 11/11/2025. Last minute request made by officer for a JB Day Trip.</t>
  </si>
  <si>
    <t>Faiz Fazely</t>
  </si>
  <si>
    <t>Using 2nd</t>
  </si>
  <si>
    <t>2nd officer from 01/01/2026 to 02/01/2026, 3rd officer on 03/01/2026. Officer intends to leave after new year countdown deployment</t>
  </si>
  <si>
    <t>Indonesia, Bali/Lombok</t>
  </si>
  <si>
    <t>Previously some of the dates 11th-23Dec and 27th - 31st Dec were booked under previous TL Inez (submitted prior to movement to Group I). He is still within quota but just changed dates, and dates were booked before he had the leave freeze meant for Team 4 at the year end. [Please view Comment]</t>
  </si>
  <si>
    <t>Kazakhstan</t>
  </si>
  <si>
    <t>SSGT</t>
  </si>
  <si>
    <t>China, Fujian</t>
  </si>
  <si>
    <t>Muhammad Alimoon Bin Mohd Juberi</t>
  </si>
  <si>
    <t>Vietnam, Ho Chi Minh</t>
  </si>
  <si>
    <t>Officer is the 5th on OL</t>
  </si>
  <si>
    <t>Johor, Malaysia</t>
  </si>
  <si>
    <t>Officer is the 6th on OL</t>
  </si>
  <si>
    <t>Using 6th Quota</t>
  </si>
  <si>
    <t>Officer is 5th on OL</t>
  </si>
  <si>
    <t>Officer is 6th on quota for 02/12/2025 and 5th on quota for 03/12/2025</t>
  </si>
  <si>
    <t>Indonesia, Semarang</t>
  </si>
  <si>
    <t>Using 6th</t>
  </si>
  <si>
    <t>Using 5th Quota [Please view comment]</t>
  </si>
  <si>
    <t>As approved by my supervisor [Please view comment]</t>
  </si>
  <si>
    <t>Malayisa, JB</t>
  </si>
  <si>
    <t xml:space="preserve">Own Quota </t>
  </si>
  <si>
    <t>Day Trip [Please view Comment]</t>
  </si>
  <si>
    <t>Phuket</t>
  </si>
  <si>
    <t>Amended Dates (from 3rd Nov Submission)</t>
  </si>
  <si>
    <t>Qamarul changed OL date and location.</t>
  </si>
  <si>
    <t>Taiwan, China</t>
  </si>
  <si>
    <t>2nd officer on OL from 7-11 March, 1st officer on OL from 12-13 March 2026</t>
  </si>
  <si>
    <t>Malaysia, Pahang</t>
  </si>
  <si>
    <t>Malaysia,</t>
  </si>
  <si>
    <t>Saudi Arabia, Makkah</t>
  </si>
  <si>
    <t>Malaysia, Ipoh</t>
  </si>
  <si>
    <t>INSP(2)</t>
  </si>
  <si>
    <t>Philippines, Cebu &amp; Siquijor</t>
  </si>
  <si>
    <t>2nd officer on OL</t>
  </si>
  <si>
    <t>Using 1st Quota from 25-26 Nov, using 3rd quota from 27-5 Dec, using 4th quota on 6 Dec</t>
  </si>
  <si>
    <t>Philippines</t>
  </si>
  <si>
    <t>Australia</t>
  </si>
  <si>
    <t>Scotland</t>
  </si>
  <si>
    <t>Previously submitted but officer added 2 more dates (4th and 5th)</t>
  </si>
  <si>
    <t>As discussed and approved by my supervisor</t>
  </si>
  <si>
    <t>Maldives</t>
  </si>
  <si>
    <t>DSP(2) Muhammad Idil Bin Ali Zainal Abidin</t>
  </si>
  <si>
    <t>Using 4th slot</t>
  </si>
  <si>
    <t>China, Chengdu</t>
  </si>
  <si>
    <t>Indonesia, Surakarta</t>
  </si>
  <si>
    <t>=MAX(COUNTIFS([Date of Departure], "&lt;=" &amp; SEQUENCE([@Date of Return] - [@Date of Departure] + 1, , [@Date of Departure]), [Date of Return], "&gt;=" &amp; SEQUENCE([@Date of Return] - [@Date of Departure] + 1, , [@Date of Departure])))</t>
  </si>
  <si>
    <t>Date</t>
  </si>
  <si>
    <t>Quota Bal</t>
  </si>
  <si>
    <t>Total Slots:</t>
  </si>
  <si>
    <t>Quota Used</t>
  </si>
  <si>
    <t>Status</t>
  </si>
  <si>
    <t>Review Latest Submission</t>
  </si>
  <si>
    <t>Unit</t>
  </si>
  <si>
    <t>ERT</t>
  </si>
  <si>
    <t>Bukit Timah</t>
  </si>
  <si>
    <t>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</si>
</sst>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409]dd\-mmm\-yy;@"/>
    <numFmt numFmtId="166" formatCode="[$-14809]d\ mmm\ yyyy;@"/>
  </numFmts>
  <fonts count="4" x14ac:knownFonts="1">
    <font>
      <sz val="11"/>
      <color theme="1"/>
      <name val="Aptos Narrow"/>
      <family val="2"/>
      <scheme val="minor"/>
    </font>
    <font>
      <sz val="11"/>
      <color rgb="FF000000"/>
      <name val="Aptos Narrow"/>
      <family val="2"/>
      <scheme val="minor"/>
    </font>
    <font>
      <sz val="11"/>
      <color rgb="FFFF0000"/>
      <name val="Aptos Narrow"/>
      <family val="2"/>
      <scheme val="minor"/>
    </font>
    <font>
      <u/>
      <sz val="11"/>
      <color theme="10"/>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8">
    <xf numFmtId="0" fontId="0" fillId="0" borderId="0" xfId="0"/>
    <xf numFmtId="0" fontId="1" fillId="2" borderId="0" xfId="0" applyFont="1" applyFill="1" applyAlignment="1">
      <alignment wrapText="1"/>
    </xf>
    <xf numFmtId="0" fontId="1" fillId="2" borderId="0" xfId="0" applyFont="1" applyFill="1" applyAlignment="1">
      <alignment horizontal="left" wrapText="1"/>
    </xf>
    <xf numFmtId="1" fontId="1" fillId="2" borderId="0" xfId="0" applyNumberFormat="1" applyFont="1" applyFill="1" applyAlignment="1">
      <alignment horizontal="left" wrapText="1"/>
    </xf>
    <xf numFmtId="1" fontId="0" fillId="0" borderId="0" xfId="0" applyNumberFormat="1" applyAlignment="1">
      <alignment horizontal="center"/>
    </xf>
    <xf numFmtId="15" fontId="0" fillId="0" borderId="0" xfId="0" applyNumberFormat="1"/>
    <xf numFmtId="165" fontId="0" fillId="0" borderId="0" xfId="0" applyNumberFormat="1" applyAlignment="1">
      <alignment horizontal="left"/>
    </xf>
    <xf numFmtId="164" fontId="0" fillId="0" borderId="0" xfId="0" applyNumberFormat="1"/>
    <xf numFmtId="0" fontId="0" fillId="0" borderId="0" xfId="0" applyAlignment="1">
      <alignment wrapText="1"/>
    </xf>
    <xf numFmtId="165" fontId="0" fillId="3" borderId="0" xfId="0" applyNumberFormat="1" applyFill="1" applyAlignment="1">
      <alignment horizontal="left"/>
    </xf>
    <xf numFmtId="0" fontId="0" fillId="3" borderId="0" xfId="0" applyFill="1"/>
    <xf numFmtId="15" fontId="0" fillId="3" borderId="0" xfId="0" applyNumberFormat="1" applyFill="1"/>
    <xf numFmtId="164" fontId="0" fillId="3" borderId="0" xfId="0" applyNumberFormat="1" applyFill="1"/>
    <xf numFmtId="1" fontId="0" fillId="3" borderId="0" xfId="0" applyNumberFormat="1" applyFill="1" applyAlignment="1">
      <alignment horizontal="center"/>
    </xf>
    <xf numFmtId="0" fontId="0" fillId="4" borderId="0" xfId="0" applyFill="1"/>
    <xf numFmtId="0" fontId="2" fillId="4" borderId="0" xfId="0" applyFont="1" applyFill="1"/>
    <xf numFmtId="166" fontId="0" fillId="0" borderId="0" xfId="0" applyNumberFormat="1"/>
    <xf numFmtId="0" fontId="3" fillId="0" borderId="0" xfId="1"/>
  </cellXfs>
  <cellStyles count="2">
    <cellStyle name="Hyperlink" xfId="1" builtinId="8"/>
    <cellStyle name="Normal" xfId="0" builtinId="0"/>
  </cellStyles>
  <dxfs count="7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ont>
        <color theme="1" tint="0.499984740745262"/>
      </font>
      <fill>
        <patternFill patternType="solid">
          <bgColor theme="2" tint="-9.9978637043366805E-2"/>
        </patternFill>
      </fill>
    </dxf>
    <dxf>
      <fill>
        <patternFill patternType="none">
          <fgColor indexed="64"/>
          <bgColor rgb="FFFFFF00"/>
        </patternFill>
      </fill>
    </dxf>
    <dxf>
      <numFmt numFmtId="167" formatCode="d\-mmm\-yy"/>
    </dxf>
    <dxf>
      <numFmt numFmtId="20" formatCode="d/mmm/yy"/>
    </dxf>
    <dxf>
      <numFmt numFmtId="167" formatCode="d\-mmm\-yy"/>
    </dxf>
    <dxf>
      <numFmt numFmtId="167" formatCode="d\-mmm\-yy"/>
      <fill>
        <patternFill patternType="none">
          <fgColor indexed="64"/>
          <bgColor rgb="FFFFFF00"/>
        </patternFill>
      </fill>
    </dxf>
    <dxf>
      <numFmt numFmtId="1" formatCode="0"/>
      <alignment horizontal="center" vertical="bottom" textRotation="0" wrapText="0" indent="0" justifyLastLine="0" shrinkToFit="0" readingOrder="0"/>
    </dxf>
    <dxf>
      <numFmt numFmtId="1" formatCode="0"/>
      <fill>
        <patternFill patternType="none">
          <fgColor indexed="64"/>
          <bgColor rgb="FFFFFF00"/>
        </patternFill>
      </fill>
      <alignment horizontal="center"/>
    </dxf>
    <dxf>
      <numFmt numFmtId="167" formatCode="d\-mmm\-yy"/>
    </dxf>
    <dxf>
      <numFmt numFmtId="167" formatCode="d\-mmm\-yy"/>
      <fill>
        <patternFill patternType="none">
          <fgColor indexed="64"/>
          <bgColor rgb="FFFFFF00"/>
        </patternFill>
      </fill>
    </dxf>
    <dxf>
      <numFmt numFmtId="164" formatCode="[$-409]d\-mmm\-yy;@"/>
    </dxf>
    <dxf>
      <numFmt numFmtId="164" formatCode="[$-409]d\-mmm\-yy;@"/>
      <fill>
        <patternFill patternType="none">
          <fgColor indexed="64"/>
          <bgColor rgb="FFFFFF00"/>
        </patternFill>
      </fill>
    </dxf>
    <dxf>
      <numFmt numFmtId="164" formatCode="[$-409]d\-mmm\-yy;@"/>
    </dxf>
    <dxf>
      <numFmt numFmtId="164" formatCode="[$-409]d\-mmm\-yy;@"/>
      <fill>
        <patternFill patternType="none">
          <fgColor indexed="64"/>
          <bgColor rgb="FFFFFF00"/>
        </patternFill>
      </fill>
    </dxf>
    <dxf>
      <numFmt numFmtId="167" formatCode="d\-mmm\-yy"/>
    </dxf>
    <dxf>
      <numFmt numFmtId="167" formatCode="d\-mmm\-yy"/>
      <fill>
        <patternFill patternType="none">
          <fgColor indexed="64"/>
          <bgColor rgb="FFFFFF00"/>
        </patternFill>
      </fill>
    </dxf>
    <dxf>
      <numFmt numFmtId="167" formatCode="d\-mmm\-yy"/>
    </dxf>
    <dxf>
      <numFmt numFmtId="167" formatCode="d\-mmm\-yy"/>
      <fill>
        <patternFill patternType="none">
          <fgColor indexed="64"/>
          <bgColor rgb="FFFFFF00"/>
        </patternFill>
      </fill>
    </dxf>
    <dxf>
      <fill>
        <patternFill patternType="none">
          <fgColor indexed="64"/>
          <bgColor rgb="FFFFFF00"/>
        </patternFill>
      </fill>
    </dxf>
    <dxf>
      <fill>
        <patternFill patternType="none">
          <fgColor indexed="64"/>
          <bgColor rgb="FFFFFF00"/>
        </patternFill>
      </fill>
    </dxf>
    <dxf>
      <fill>
        <patternFill patternType="none">
          <fgColor indexed="64"/>
          <bgColor rgb="FFFFFF00"/>
        </patternFill>
      </fill>
    </dxf>
    <dxf>
      <numFmt numFmtId="165" formatCode="[$-409]dd\-mmm\-yy;@"/>
      <alignment horizontal="left" vertical="bottom" textRotation="0" wrapText="0" indent="0" justifyLastLine="0" shrinkToFit="0" readingOrder="0"/>
    </dxf>
    <dxf>
      <numFmt numFmtId="165" formatCode="[$-409]dd\-mmm\-yy;@"/>
      <fill>
        <patternFill patternType="none">
          <fgColor indexed="64"/>
          <bgColor rgb="FFFFFF00"/>
        </patternFill>
      </fill>
      <alignment horizontal="left"/>
    </dxf>
    <dxf>
      <fill>
        <patternFill patternType="none">
          <fgColor indexed="64"/>
          <bgColor rgb="FFFFFF00"/>
        </patternFill>
      </fill>
    </dxf>
    <dxf>
      <font>
        <color rgb="FF000000"/>
      </font>
      <fill>
        <patternFill patternType="solid">
          <fgColor indexed="64"/>
          <bgColor theme="9" tint="0.59999389629810485"/>
        </patternFill>
      </fill>
      <alignment wrapText="1"/>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Jared JR CHIONH (SPF)" id="{9989067B-5B75-4CFF-A21C-2712D085E716}" userId="S::jared_jr_chionh@spf.gov.sg::de781d0d-dfff-4103-97b9-a179110d39a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C8FA12-4926-4729-8B1C-19317578D1AA}" name="Table1" displayName="Table1" ref="A1:M380" totalsRowShown="0" headerRowDxfId="77" dataDxfId="76">
  <autoFilter ref="A1:M380" xr:uid="{BEC8FA12-4926-4729-8B1C-19317578D1AA}">
    <filterColumn colId="7">
      <filters>
        <dateGroupItem year="2026" dateTimeGrouping="year"/>
      </filters>
    </filterColumn>
  </autoFilter>
  <sortState xmlns:xlrd2="http://schemas.microsoft.com/office/spreadsheetml/2017/richdata2" ref="A2:M380">
    <sortCondition ref="A1:A380"/>
  </sortState>
  <tableColumns count="13">
    <tableColumn id="1" xr3:uid="{A7060A9F-C600-438B-9009-FF5F8DEBF010}" name="Date of Submmision" dataDxfId="75" totalsRowDxfId="74"/>
    <tableColumn id="2" xr3:uid="{3586F635-AAB1-4A36-9412-103DEEB0E93D}" name="Scheme" dataDxfId="73"/>
    <tableColumn id="5" xr3:uid="{EA7CA8AF-ECB8-478E-B6CC-00F3CF4C1B44}" name="Rank" dataDxfId="72"/>
    <tableColumn id="3" xr3:uid="{A8F1DD4F-94B7-452A-9753-C3BE30B35CA5}" name="Name of Officer applying for leave (Full Name)" dataDxfId="71"/>
    <tableColumn id="8" xr3:uid="{36A0626C-B680-4B90-B5FA-3361AC81B049}" name="Country of Travel_x000a_Country, State" dataDxfId="70" totalsRowDxfId="69"/>
    <tableColumn id="7" xr3:uid="{C644E841-B505-4CF9-8F12-7E4F144493CE}" name="Own Quota/ Borrowed Quota" dataDxfId="68" totalsRowDxfId="67"/>
    <tableColumn id="9" xr3:uid="{D17B2AFD-FC57-4FFF-BEFF-3B73D31B51D3}" name="Date of Departure" dataDxfId="66" totalsRowDxfId="65"/>
    <tableColumn id="12" xr3:uid="{49CFA5EA-A9CF-48ED-AA2B-3BEFE95FB2E5}" name="Date of Return" dataDxfId="64" totalsRowDxfId="63"/>
    <tableColumn id="11" xr3:uid="{1277A081-5730-48ED-976C-E307694C9DE7}" name="Leave Approving Officer in HRP" dataDxfId="62" totalsRowDxfId="61"/>
    <tableColumn id="10" xr3:uid="{7AB8CC6C-0D63-4A64-A09E-540A224B55B2}" name="Unit's Leave Quota" dataDxfId="60" totalsRowDxfId="59"/>
    <tableColumn id="6" xr3:uid="{D280804B-73AA-42AD-9FEA-45027CA654D0}" name="OC Approved?" dataDxfId="58" totalsRowDxfId="57"/>
    <tableColumn id="13" xr3:uid="{94A8E7A2-D148-4B63-8234-38B12A25B5E3}" name="Unit" dataDxfId="56" totalsRowDxfId="55"/>
    <tableColumn id="4" xr3:uid="{42C3C677-2274-41B4-B0C3-B0A4348DA75C}" name="Remarks" dataDxfId="54"/>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9" dT="2025-12-31T12:16:12.53" personId="{9989067B-5B75-4CFF-A21C-2712D085E716}" id="{11BCD73B-5471-468E-9323-7B360C9A53FC}">
    <text>On 17th Dec, TL Inez checked with OC: SI Sazali's OL slot freed up for SGT(3) Yi Liang to take over OL slot. OC is agreeable to free up the OL slot for officer.</text>
  </threadedComment>
  <threadedComment ref="M94" dT="2025-12-31T12:16:07.59" personId="{9989067B-5B75-4CFF-A21C-2712D085E716}" id="{6AC98310-608B-4A4F-AAB9-00C92DBD1F94}">
    <text>On 17th Dec, TL Inez checked with OC: SI Sazali's OL slot freed up for SGT(3) Yi Liang to take over OL slot. OC is agreeable to free up the OL slot for officer.</text>
  </threadedComment>
  <threadedComment ref="M200" dT="2025-12-31T12:16:03.58" personId="{9989067B-5B75-4CFF-A21C-2712D085E716}" id="{51BA5190-D189-4CF2-978A-A19302B1D13A}">
    <text>On 17th Dec, TL Inez checked with OC: SI Sazali's OL slot freed up for SGT(3) Yi Liang to take over OL slot. OC is agreeable to free up the OL slot for officer.</text>
  </threadedComment>
  <threadedComment ref="M249" dT="2025-12-31T12:15:59.19" personId="{9989067B-5B75-4CFF-A21C-2712D085E716}" id="{FAAD5194-566C-4BB8-8D3E-896DCF308E02}">
    <text>On 17th Dec, TL Inez checked with OC: SI Sazali's OL slot freed up for SGT(3) Yi Liang to take over OL slot. OC is agreeable to free up the OL slot for officer.</text>
  </threadedComment>
  <threadedComment ref="M250" dT="2025-12-31T12:15:51.23" personId="{9989067B-5B75-4CFF-A21C-2712D085E716}" id="{1626CFCA-9571-4456-9A9C-1952BD7ECB87}">
    <text>On 17th Dec, TL Inez checked with OC: SI Sazali's OL slot freed up for SGT(3) Yi Liang to take over OL slot. OC is agreeable to free up the OL slot for officer.</text>
  </threadedComment>
  <threadedComment ref="M315" dT="2025-12-31T12:15:45.12" personId="{9989067B-5B75-4CFF-A21C-2712D085E716}" id="{DFCBC11A-947D-419B-8C6E-80B6E3F7B9BD}">
    <text>On 17th Dec, TL Inez checked with OC: SI Sazali's OL slot freed up for SGT(3) Yi Liang to take over OL slot. OC is agreeable to free up the OL slot for officer.</text>
  </threadedComment>
  <threadedComment ref="M316" dT="2025-12-31T12:13:27.82" personId="{9989067B-5B75-4CFF-A21C-2712D085E716}" id="{84767610-6819-4BB9-B936-392BC8F86574}">
    <text>On 17th Dec, TL Inez checked with OC: SI Sazali's OL slot freed up for SGT(3) Yi Liang to take over OL slot. OC is agreeable to free up the OL slot for officer.</text>
  </threadedComment>
  <threadedComment ref="M333" dT="2025-12-31T12:12:27.91" personId="{9989067B-5B75-4CFF-A21C-2712D085E716}" id="{C4CE1E17-E1A0-4510-99AC-638B8ED5E186}">
    <text xml:space="preserve">On 17th Dec, TL Inez checked with OC: SI Sazali's OL slot freed up for SGT(3) Yi Liang to take over OL slot. OC is agreeable to free up the OL slot for officer.
</text>
  </threadedComment>
  <threadedComment ref="M334" dT="2025-12-31T12:12:00.75" personId="{9989067B-5B75-4CFF-A21C-2712D085E716}" id="{67882D14-894E-469B-931F-1E1826EA21F1}">
    <text>On 17th Dec, TL Inez checked with OC: SI Sazali's OL slot freed up for SGT(3) Yi Liang to take over OL slot. OC is agreeable to free up the OL slot for officer.</text>
  </threadedComment>
  <threadedComment ref="M335" dT="2025-12-31T12:12:14.76" personId="{9989067B-5B75-4CFF-A21C-2712D085E716}" id="{56FD0ADA-BE61-49CB-AC02-F1875F30F0D8}">
    <text xml:space="preserve">On 17th Dec, TL Inez checked with OC: SI Sazali's OL slot freed up for SGT(3) Yi Liang to take over OL slot. OC is agreeable to free up the OL slot for officer.
</text>
  </threadedComment>
  <threadedComment ref="M336" dT="2025-12-26T06:52:37.82" personId="{9989067B-5B75-4CFF-A21C-2712D085E716}" id="{E2F8A146-8EBD-4A49-98E1-33D7E88ACBDF}">
    <text>On 17th Dec, TL Inez checked with OC: SI Sazali's OL slot freed up for SGT(3) Yi Liang to take over OL slot. OC is agreeable to free up the OL slot for officer.</text>
  </threadedComment>
  <threadedComment ref="M337" dT="2025-12-31T12:11:45.54" personId="{9989067B-5B75-4CFF-A21C-2712D085E716}" id="{A86D5D8E-275D-461B-AD9E-F5F9FC083B08}">
    <text>On 17th Dec, TL Inez checked with OC: SI Sazali's OL slot freed up for SGT(3) Yi Liang to take over OL slot. OC is agreeable to free up the OL slot for officer.</text>
  </threadedComment>
  <threadedComment ref="M338" dT="2025-12-31T12:11:09.55" personId="{9989067B-5B75-4CFF-A21C-2712D085E716}" id="{6BDD4FBC-2D3A-4015-BD67-B7735BC9CCAF}">
    <text>On 17th Dec, TL Inez checked with OC: SI Sazali's OL slot freed up for SGT(3) Yi Liang to take over OL slot. OC is agreeable to free up the OL slot for officer.</text>
  </threadedComment>
  <threadedComment ref="M368" dT="2026-01-22T06:37:32.24" personId="{9989067B-5B75-4CFF-A21C-2712D085E716}" id="{54F9D168-4D42-48C9-AACD-C1EB49BF1528}">
    <text>Previously submitted on 19th Dec 2025</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80"/>
  <sheetViews>
    <sheetView workbookViewId="0">
      <pane ySplit="1" topLeftCell="A370" activePane="bottomLeft" state="frozen"/>
      <selection pane="bottomLeft" activeCell="H379" sqref="H379"/>
    </sheetView>
  </sheetViews>
  <sheetFormatPr defaultRowHeight="14.4" x14ac:dyDescent="0.3"/>
  <cols>
    <col min="1" max="1" width="13.33203125" style="6" customWidth="1"/>
    <col min="2" max="2" width="10" customWidth="1"/>
    <col min="3" max="3" width="11.33203125" customWidth="1"/>
    <col min="4" max="4" width="33.109375" customWidth="1"/>
    <col min="5" max="5" width="29.6640625" customWidth="1"/>
    <col min="6" max="6" width="16.109375" customWidth="1"/>
    <col min="7" max="7" width="12.44140625" style="7" customWidth="1"/>
    <col min="8" max="8" width="11.109375" style="7" customWidth="1"/>
    <col min="9" max="9" width="23.88671875" customWidth="1"/>
    <col min="10" max="10" width="14.44140625" style="4" customWidth="1"/>
    <col min="11" max="12" width="14.33203125" customWidth="1"/>
    <col min="13" max="13" width="84" customWidth="1"/>
  </cols>
  <sheetData>
    <row r="1" spans="1:13" s="1" customFormat="1" ht="33" customHeight="1" x14ac:dyDescent="0.3">
      <c r="A1" s="2" t="s">
        <v>0</v>
      </c>
      <c r="B1" s="1" t="s">
        <v>1</v>
      </c>
      <c r="C1" s="1" t="s">
        <v>2</v>
      </c>
      <c r="D1" s="1" t="s">
        <v>3</v>
      </c>
      <c r="E1" s="1" t="s">
        <v>4</v>
      </c>
      <c r="F1" s="1" t="s">
        <v>5</v>
      </c>
      <c r="G1" s="1" t="s">
        <v>6</v>
      </c>
      <c r="H1" s="1" t="s">
        <v>7</v>
      </c>
      <c r="I1" s="1" t="s">
        <v>8</v>
      </c>
      <c r="J1" s="3" t="s">
        <v>9</v>
      </c>
      <c r="K1" s="1" t="s">
        <v>10</v>
      </c>
      <c r="L1" s="1" t="s">
        <v>353</v>
      </c>
      <c r="M1" s="1" t="s">
        <v>11</v>
      </c>
    </row>
    <row r="2" spans="1:13" hidden="1" x14ac:dyDescent="0.3">
      <c r="A2" s="6">
        <v>45284</v>
      </c>
      <c r="B2" t="s">
        <v>12</v>
      </c>
      <c r="C2" t="s">
        <v>13</v>
      </c>
      <c r="D2" t="s">
        <v>14</v>
      </c>
      <c r="E2" s="5" t="s">
        <v>15</v>
      </c>
      <c r="F2" s="5" t="s">
        <v>16</v>
      </c>
      <c r="G2" s="7">
        <v>45647</v>
      </c>
      <c r="H2" s="7">
        <v>45658</v>
      </c>
      <c r="I2" s="5" t="s">
        <v>17</v>
      </c>
      <c r="J2" s="4" cm="1">
        <f t="array" ref="J2">MAX(IF(YEAR(_xlfn.SEQUENCE(Table1[[#This Row],[Date of Return]] - Table1[[#This Row],[Date of Departure]] + 1, , Table1[[#This Row],[Date of Departure]])) = YEAR(Table1[[#This Row],[Date of Departure]]), 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 Table1[Date of Departure], "&gt;=" &amp; DATE(YEAR(Table1[[#This Row],[Date of Departure]]),1,1), Table1[Date of Departure], "&lt;=" &amp; DATE(YEAR(Table1[[#This Row],[Date of Departure]]),12,31)), 0))</f>
        <v>2</v>
      </c>
      <c r="K2" s="5" t="str">
        <f>IF(Table1[[#This Row],[Unit''s Leave Quota]]&lt;=6, "Approved", "Quota Exceeded")</f>
        <v>Approved</v>
      </c>
      <c r="L2" s="5"/>
    </row>
    <row r="3" spans="1:13" hidden="1" x14ac:dyDescent="0.3">
      <c r="A3" s="6">
        <v>45347</v>
      </c>
      <c r="B3" t="s">
        <v>12</v>
      </c>
      <c r="C3" t="s">
        <v>18</v>
      </c>
      <c r="D3" t="s">
        <v>19</v>
      </c>
      <c r="E3" s="5" t="s">
        <v>20</v>
      </c>
      <c r="F3" s="5" t="s">
        <v>16</v>
      </c>
      <c r="G3" s="7">
        <v>45646</v>
      </c>
      <c r="H3" s="7">
        <v>45662</v>
      </c>
      <c r="I3" s="5" t="s">
        <v>21</v>
      </c>
      <c r="J3" s="4" cm="1">
        <f t="array" ref="J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3" s="5" t="str">
        <f>IF(Table1[[#This Row],[Unit''s Leave Quota]]&lt;=6, "Approved", "Quota Exceeded")</f>
        <v>Approved</v>
      </c>
      <c r="L3" s="5"/>
    </row>
    <row r="4" spans="1:13" hidden="1" x14ac:dyDescent="0.3">
      <c r="A4" s="6">
        <v>45459</v>
      </c>
      <c r="B4" t="s">
        <v>12</v>
      </c>
      <c r="C4" t="s">
        <v>22</v>
      </c>
      <c r="D4" t="s">
        <v>23</v>
      </c>
      <c r="E4" s="5" t="s">
        <v>24</v>
      </c>
      <c r="F4" s="5" t="s">
        <v>16</v>
      </c>
      <c r="G4" s="7">
        <v>45665</v>
      </c>
      <c r="H4" s="7">
        <v>45680</v>
      </c>
      <c r="I4" s="5" t="s">
        <v>25</v>
      </c>
      <c r="J4" s="4" cm="1">
        <f t="array" ref="J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4" s="5" t="str">
        <f>IF(Table1[[#This Row],[Unit''s Leave Quota]]&lt;=6, "Approved", "Quota Exceeded")</f>
        <v>Approved</v>
      </c>
      <c r="L4" s="5"/>
    </row>
    <row r="5" spans="1:13" hidden="1" x14ac:dyDescent="0.3">
      <c r="A5" s="6">
        <v>45526</v>
      </c>
      <c r="B5" t="s">
        <v>12</v>
      </c>
      <c r="C5" t="s">
        <v>22</v>
      </c>
      <c r="D5" t="s">
        <v>26</v>
      </c>
      <c r="E5" s="5" t="s">
        <v>27</v>
      </c>
      <c r="F5" s="5" t="s">
        <v>16</v>
      </c>
      <c r="G5" s="7">
        <v>45660</v>
      </c>
      <c r="H5" s="7">
        <v>45672</v>
      </c>
      <c r="I5" s="5" t="s">
        <v>28</v>
      </c>
      <c r="J5" s="4" cm="1">
        <f t="array" ref="J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5" s="5" t="str">
        <f>IF(Table1[[#This Row],[Unit''s Leave Quota]]&lt;=6, "Approved", "Quota Exceeded")</f>
        <v>Approved</v>
      </c>
      <c r="L5" s="5"/>
    </row>
    <row r="6" spans="1:13" hidden="1" x14ac:dyDescent="0.3">
      <c r="A6" s="6">
        <v>45554</v>
      </c>
      <c r="B6" t="s">
        <v>12</v>
      </c>
      <c r="C6" t="s">
        <v>29</v>
      </c>
      <c r="D6" t="s">
        <v>30</v>
      </c>
      <c r="E6" s="5" t="s">
        <v>31</v>
      </c>
      <c r="F6" s="5" t="s">
        <v>16</v>
      </c>
      <c r="G6" s="7">
        <v>45659</v>
      </c>
      <c r="H6" s="7">
        <v>45666</v>
      </c>
      <c r="I6" s="5" t="s">
        <v>32</v>
      </c>
      <c r="J6" s="4" cm="1">
        <f t="array" ref="J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6" s="5" t="str">
        <f>IF(Table1[[#This Row],[Unit''s Leave Quota]]&lt;=6, "Approved", "Quota Exceeded")</f>
        <v>Approved</v>
      </c>
      <c r="L6" s="5"/>
      <c r="M6" t="s">
        <v>33</v>
      </c>
    </row>
    <row r="7" spans="1:13" hidden="1" x14ac:dyDescent="0.3">
      <c r="A7" s="6">
        <v>45554</v>
      </c>
      <c r="B7" t="s">
        <v>12</v>
      </c>
      <c r="C7" t="s">
        <v>34</v>
      </c>
      <c r="D7" t="s">
        <v>30</v>
      </c>
      <c r="E7" s="5" t="s">
        <v>24</v>
      </c>
      <c r="F7" s="5" t="s">
        <v>16</v>
      </c>
      <c r="G7" s="7">
        <v>45717</v>
      </c>
      <c r="H7" s="7">
        <v>45728</v>
      </c>
      <c r="I7" s="5" t="s">
        <v>32</v>
      </c>
      <c r="J7" s="4" cm="1">
        <f t="array" ref="J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7" s="5" t="str">
        <f>IF(Table1[[#This Row],[Unit''s Leave Quota]]&lt;=6, "Approved", "Quota Exceeded")</f>
        <v>Approved</v>
      </c>
      <c r="L7" s="5"/>
    </row>
    <row r="8" spans="1:13" hidden="1" x14ac:dyDescent="0.3">
      <c r="A8" s="6">
        <v>45574</v>
      </c>
      <c r="B8" t="s">
        <v>12</v>
      </c>
      <c r="C8" t="s">
        <v>29</v>
      </c>
      <c r="D8" t="s">
        <v>35</v>
      </c>
      <c r="E8" s="5" t="s">
        <v>36</v>
      </c>
      <c r="F8" s="5" t="s">
        <v>16</v>
      </c>
      <c r="G8" s="7">
        <v>45673</v>
      </c>
      <c r="H8" s="7">
        <v>45677</v>
      </c>
      <c r="I8" s="5" t="s">
        <v>32</v>
      </c>
      <c r="J8" s="4" cm="1">
        <f t="array" ref="J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8" s="5" t="str">
        <f>IF(Table1[[#This Row],[Unit''s Leave Quota]]&lt;=6, "Approved", "Quota Exceeded")</f>
        <v>Approved</v>
      </c>
      <c r="L8" s="5"/>
    </row>
    <row r="9" spans="1:13" hidden="1" x14ac:dyDescent="0.3">
      <c r="A9" s="6">
        <v>45619</v>
      </c>
      <c r="B9" t="s">
        <v>12</v>
      </c>
      <c r="C9" t="s">
        <v>37</v>
      </c>
      <c r="D9" t="s">
        <v>38</v>
      </c>
      <c r="E9" s="5" t="s">
        <v>39</v>
      </c>
      <c r="F9" s="5" t="s">
        <v>16</v>
      </c>
      <c r="G9" s="7">
        <v>45660</v>
      </c>
      <c r="H9" s="7">
        <v>45669</v>
      </c>
      <c r="I9" s="5" t="s">
        <v>32</v>
      </c>
      <c r="J9" s="4" cm="1">
        <f t="array" ref="J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9" s="5" t="str">
        <f>IF(Table1[[#This Row],[Unit''s Leave Quota]]&lt;=6, "Approved", "Quota Exceeded")</f>
        <v>Approved</v>
      </c>
      <c r="L9" s="5"/>
    </row>
    <row r="10" spans="1:13" hidden="1" x14ac:dyDescent="0.3">
      <c r="A10" s="6">
        <v>45619</v>
      </c>
      <c r="B10" t="s">
        <v>12</v>
      </c>
      <c r="C10" t="s">
        <v>37</v>
      </c>
      <c r="D10" t="s">
        <v>38</v>
      </c>
      <c r="E10" s="5" t="s">
        <v>40</v>
      </c>
      <c r="F10" s="5" t="s">
        <v>16</v>
      </c>
      <c r="G10" s="7">
        <v>45787</v>
      </c>
      <c r="H10" s="7">
        <v>45795</v>
      </c>
      <c r="I10" s="5" t="s">
        <v>32</v>
      </c>
      <c r="J10" s="4" cm="1">
        <f t="array" ref="J1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0" s="5" t="str">
        <f>IF(Table1[[#This Row],[Unit''s Leave Quota]]&lt;=6, "Approved", "Quota Exceeded")</f>
        <v>Approved</v>
      </c>
      <c r="L10" s="5"/>
    </row>
    <row r="11" spans="1:13" hidden="1" x14ac:dyDescent="0.3">
      <c r="A11" s="6">
        <v>45628</v>
      </c>
      <c r="B11" t="s">
        <v>12</v>
      </c>
      <c r="C11" t="s">
        <v>41</v>
      </c>
      <c r="D11" t="s">
        <v>42</v>
      </c>
      <c r="E11" s="5" t="s">
        <v>43</v>
      </c>
      <c r="F11" s="5" t="s">
        <v>16</v>
      </c>
      <c r="G11" s="7">
        <v>45701</v>
      </c>
      <c r="H11" s="7">
        <v>45704</v>
      </c>
      <c r="I11" s="5" t="s">
        <v>44</v>
      </c>
      <c r="J11" s="4" cm="1">
        <f t="array" ref="J1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1" s="5" t="str">
        <f>IF(Table1[[#This Row],[Unit''s Leave Quota]]&lt;=6, "Approved", "Quota Exceeded")</f>
        <v>Approved</v>
      </c>
      <c r="L11" s="5"/>
    </row>
    <row r="12" spans="1:13" hidden="1" x14ac:dyDescent="0.3">
      <c r="A12" s="6">
        <v>45637</v>
      </c>
      <c r="B12" t="s">
        <v>45</v>
      </c>
      <c r="C12" t="s">
        <v>46</v>
      </c>
      <c r="D12" t="s">
        <v>47</v>
      </c>
      <c r="E12" s="5" t="s">
        <v>48</v>
      </c>
      <c r="F12" s="5" t="s">
        <v>16</v>
      </c>
      <c r="G12" s="7">
        <v>45701</v>
      </c>
      <c r="H12" s="7">
        <v>45708</v>
      </c>
      <c r="I12" s="5" t="s">
        <v>49</v>
      </c>
      <c r="J12" s="4" cm="1">
        <f t="array" ref="J1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2" s="5" t="str">
        <f>IF(Table1[[#This Row],[Unit''s Leave Quota]]&lt;=6, "Approved", "Quota Exceeded")</f>
        <v>Approved</v>
      </c>
      <c r="L12" s="5"/>
    </row>
    <row r="13" spans="1:13" hidden="1" x14ac:dyDescent="0.3">
      <c r="A13" s="6">
        <v>45639</v>
      </c>
      <c r="B13" t="s">
        <v>45</v>
      </c>
      <c r="C13" t="s">
        <v>50</v>
      </c>
      <c r="D13" t="s">
        <v>51</v>
      </c>
      <c r="E13" s="5" t="s">
        <v>52</v>
      </c>
      <c r="F13" s="5" t="s">
        <v>16</v>
      </c>
      <c r="G13" s="7">
        <v>45665</v>
      </c>
      <c r="H13" s="7">
        <v>45668</v>
      </c>
      <c r="I13" s="5" t="s">
        <v>25</v>
      </c>
      <c r="J13" s="4" cm="1">
        <f t="array" ref="J1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3" s="5" t="str">
        <f>IF(Table1[[#This Row],[Unit''s Leave Quota]]&lt;=6, "Approved", "Quota Exceeded")</f>
        <v>Approved</v>
      </c>
      <c r="L13" s="5"/>
      <c r="M13" t="s">
        <v>53</v>
      </c>
    </row>
    <row r="14" spans="1:13" hidden="1" x14ac:dyDescent="0.3">
      <c r="A14" s="6">
        <v>45643</v>
      </c>
      <c r="B14" t="s">
        <v>12</v>
      </c>
      <c r="C14" t="s">
        <v>50</v>
      </c>
      <c r="D14" t="s">
        <v>51</v>
      </c>
      <c r="E14" s="5" t="s">
        <v>54</v>
      </c>
      <c r="F14" s="5" t="s">
        <v>16</v>
      </c>
      <c r="G14" s="7">
        <v>45839</v>
      </c>
      <c r="H14" s="7">
        <v>45842</v>
      </c>
      <c r="I14" s="5" t="s">
        <v>25</v>
      </c>
      <c r="J14" s="4" cm="1">
        <f t="array" ref="J1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14" s="5" t="str">
        <f>IF(Table1[[#This Row],[Unit''s Leave Quota]]&lt;=6, "Approved", "Quota Exceeded")</f>
        <v>Approved</v>
      </c>
      <c r="L14" s="5"/>
    </row>
    <row r="15" spans="1:13" hidden="1" x14ac:dyDescent="0.3">
      <c r="A15" s="6">
        <v>45648</v>
      </c>
      <c r="B15" t="s">
        <v>45</v>
      </c>
      <c r="C15" t="s">
        <v>55</v>
      </c>
      <c r="D15" t="s">
        <v>56</v>
      </c>
      <c r="E15" s="5" t="s">
        <v>57</v>
      </c>
      <c r="F15" s="5" t="s">
        <v>16</v>
      </c>
      <c r="G15" s="7">
        <v>45661</v>
      </c>
      <c r="H15" s="7">
        <v>45662</v>
      </c>
      <c r="I15" s="5" t="s">
        <v>58</v>
      </c>
      <c r="J15" s="4" cm="1">
        <f t="array" ref="J1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15" s="5" t="str">
        <f>IF(Table1[[#This Row],[Unit''s Leave Quota]]&lt;=6, "Approved", "Quota Exceeded")</f>
        <v>Approved</v>
      </c>
      <c r="L15" s="5"/>
    </row>
    <row r="16" spans="1:13" hidden="1" x14ac:dyDescent="0.3">
      <c r="A16" s="6">
        <v>45648</v>
      </c>
      <c r="B16" t="s">
        <v>45</v>
      </c>
      <c r="C16" t="s">
        <v>50</v>
      </c>
      <c r="D16" t="s">
        <v>59</v>
      </c>
      <c r="E16" s="5" t="s">
        <v>60</v>
      </c>
      <c r="F16" s="5" t="s">
        <v>16</v>
      </c>
      <c r="G16" s="7">
        <v>45694</v>
      </c>
      <c r="H16" s="7">
        <v>45701</v>
      </c>
      <c r="I16" s="5" t="s">
        <v>58</v>
      </c>
      <c r="J16" s="4" cm="1">
        <f t="array" ref="J1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6" s="5" t="str">
        <f>IF(Table1[[#This Row],[Unit''s Leave Quota]]&lt;=6, "Approved", "Quota Exceeded")</f>
        <v>Approved</v>
      </c>
      <c r="L16" s="5"/>
      <c r="M16" t="s">
        <v>61</v>
      </c>
    </row>
    <row r="17" spans="1:13" hidden="1" x14ac:dyDescent="0.3">
      <c r="A17" s="6">
        <v>45648</v>
      </c>
      <c r="B17" t="s">
        <v>45</v>
      </c>
      <c r="C17" t="s">
        <v>18</v>
      </c>
      <c r="D17" t="s">
        <v>62</v>
      </c>
      <c r="E17" s="5" t="s">
        <v>63</v>
      </c>
      <c r="F17" s="5" t="s">
        <v>16</v>
      </c>
      <c r="G17" s="7">
        <v>45711</v>
      </c>
      <c r="H17" s="7">
        <v>45725</v>
      </c>
      <c r="I17" s="5" t="s">
        <v>58</v>
      </c>
      <c r="J17" s="4" cm="1">
        <f t="array" ref="J1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7" s="5" t="str">
        <f>IF(Table1[[#This Row],[Unit''s Leave Quota]]&lt;=6, "Approved", "Quota Exceeded")</f>
        <v>Approved</v>
      </c>
      <c r="L17" s="5"/>
      <c r="M17" t="s">
        <v>64</v>
      </c>
    </row>
    <row r="18" spans="1:13" hidden="1" x14ac:dyDescent="0.3">
      <c r="A18" s="6">
        <v>45648</v>
      </c>
      <c r="B18" t="s">
        <v>12</v>
      </c>
      <c r="C18" t="s">
        <v>41</v>
      </c>
      <c r="D18" t="s">
        <v>65</v>
      </c>
      <c r="E18" s="5" t="s">
        <v>66</v>
      </c>
      <c r="F18" s="5" t="s">
        <v>16</v>
      </c>
      <c r="G18" s="7">
        <v>45787</v>
      </c>
      <c r="H18" s="7">
        <v>45793</v>
      </c>
      <c r="I18" s="5" t="s">
        <v>58</v>
      </c>
      <c r="J18" s="4" cm="1">
        <f t="array" ref="J1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8" s="5" t="str">
        <f>IF(Table1[[#This Row],[Unit''s Leave Quota]]&lt;=6, "Approved", "Quota Exceeded")</f>
        <v>Approved</v>
      </c>
      <c r="L18" s="5"/>
    </row>
    <row r="19" spans="1:13" hidden="1" x14ac:dyDescent="0.3">
      <c r="A19" s="6">
        <v>45649</v>
      </c>
      <c r="B19" t="s">
        <v>12</v>
      </c>
      <c r="C19" t="s">
        <v>13</v>
      </c>
      <c r="D19" t="s">
        <v>67</v>
      </c>
      <c r="E19" s="5" t="s">
        <v>68</v>
      </c>
      <c r="F19" s="5" t="s">
        <v>69</v>
      </c>
      <c r="G19" s="7">
        <v>46006</v>
      </c>
      <c r="H19" s="7">
        <v>46015</v>
      </c>
      <c r="I19" s="5" t="s">
        <v>28</v>
      </c>
      <c r="J19" s="4" cm="1">
        <f t="array" ref="J1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7</v>
      </c>
      <c r="K19" s="5" t="str">
        <f>IF(Table1[[#This Row],[Unit''s Leave Quota]]&lt;=6, "Approved", "Quota Exceeded")</f>
        <v>Quota Exceeded</v>
      </c>
      <c r="L19" s="5"/>
      <c r="M19" t="s">
        <v>70</v>
      </c>
    </row>
    <row r="20" spans="1:13" hidden="1" x14ac:dyDescent="0.3">
      <c r="A20" s="6">
        <v>45650</v>
      </c>
      <c r="B20" t="s">
        <v>45</v>
      </c>
      <c r="C20" t="s">
        <v>46</v>
      </c>
      <c r="D20" t="s">
        <v>71</v>
      </c>
      <c r="E20" s="5" t="s">
        <v>15</v>
      </c>
      <c r="F20" s="5" t="s">
        <v>16</v>
      </c>
      <c r="G20" s="7">
        <v>45666</v>
      </c>
      <c r="H20" s="7">
        <v>45670</v>
      </c>
      <c r="I20" s="5" t="s">
        <v>49</v>
      </c>
      <c r="J20" s="4" cm="1">
        <f t="array" ref="J2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0" s="5" t="str">
        <f>IF(Table1[[#This Row],[Unit''s Leave Quota]]&lt;=6, "Approved", "Quota Exceeded")</f>
        <v>Approved</v>
      </c>
      <c r="L20" s="5"/>
      <c r="M20" t="s">
        <v>72</v>
      </c>
    </row>
    <row r="21" spans="1:13" hidden="1" x14ac:dyDescent="0.3">
      <c r="A21" s="6">
        <v>45650</v>
      </c>
      <c r="B21" t="s">
        <v>45</v>
      </c>
      <c r="C21" t="s">
        <v>22</v>
      </c>
      <c r="D21" t="s">
        <v>73</v>
      </c>
      <c r="E21" s="5" t="s">
        <v>63</v>
      </c>
      <c r="F21" s="5" t="s">
        <v>16</v>
      </c>
      <c r="G21" s="7">
        <v>45722</v>
      </c>
      <c r="H21" s="7">
        <v>45726</v>
      </c>
      <c r="I21" s="5" t="s">
        <v>25</v>
      </c>
      <c r="J21" s="4" cm="1">
        <f t="array" ref="J2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1" s="5" t="str">
        <f>IF(Table1[[#This Row],[Unit''s Leave Quota]]&lt;=6, "Approved", "Quota Exceeded")</f>
        <v>Approved</v>
      </c>
      <c r="L21" s="5"/>
    </row>
    <row r="22" spans="1:13" hidden="1" x14ac:dyDescent="0.3">
      <c r="A22" s="6">
        <v>45652</v>
      </c>
      <c r="B22" t="s">
        <v>12</v>
      </c>
      <c r="C22" t="s">
        <v>22</v>
      </c>
      <c r="D22" t="s">
        <v>74</v>
      </c>
      <c r="E22" s="5" t="s">
        <v>75</v>
      </c>
      <c r="F22" s="5" t="s">
        <v>16</v>
      </c>
      <c r="G22" s="7">
        <v>45706</v>
      </c>
      <c r="H22" s="7">
        <v>45714</v>
      </c>
      <c r="I22" s="5" t="s">
        <v>25</v>
      </c>
      <c r="J22" s="4" cm="1">
        <f t="array" ref="J2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2" s="5" t="str">
        <f>IF(Table1[[#This Row],[Unit''s Leave Quota]]&lt;=6, "Approved", "Quota Exceeded")</f>
        <v>Approved</v>
      </c>
      <c r="L22" s="5"/>
      <c r="M22" t="s">
        <v>76</v>
      </c>
    </row>
    <row r="23" spans="1:13" hidden="1" x14ac:dyDescent="0.3">
      <c r="A23" s="6">
        <v>45655</v>
      </c>
      <c r="B23" t="s">
        <v>45</v>
      </c>
      <c r="C23" t="s">
        <v>46</v>
      </c>
      <c r="D23" t="s">
        <v>74</v>
      </c>
      <c r="E23" s="5" t="s">
        <v>77</v>
      </c>
      <c r="F23" s="5" t="s">
        <v>16</v>
      </c>
      <c r="G23" s="7">
        <v>45680</v>
      </c>
      <c r="H23" s="7">
        <v>45680</v>
      </c>
      <c r="I23" s="5" t="s">
        <v>25</v>
      </c>
      <c r="J23" s="4" cm="1">
        <f t="array" ref="J2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23" s="5" t="str">
        <f>IF(Table1[[#This Row],[Unit''s Leave Quota]]&lt;=6, "Approved", "Quota Exceeded")</f>
        <v>Approved</v>
      </c>
      <c r="L23" s="5"/>
      <c r="M23" t="s">
        <v>78</v>
      </c>
    </row>
    <row r="24" spans="1:13" hidden="1" x14ac:dyDescent="0.3">
      <c r="A24" s="6">
        <v>45656</v>
      </c>
      <c r="B24" t="s">
        <v>45</v>
      </c>
      <c r="C24" t="s">
        <v>55</v>
      </c>
      <c r="D24" t="s">
        <v>79</v>
      </c>
      <c r="E24" s="5" t="s">
        <v>80</v>
      </c>
      <c r="F24" s="5" t="s">
        <v>16</v>
      </c>
      <c r="G24" s="7">
        <v>45673</v>
      </c>
      <c r="H24" s="7">
        <v>45675</v>
      </c>
      <c r="I24" s="5" t="s">
        <v>81</v>
      </c>
      <c r="J24" s="4" cm="1">
        <f t="array" ref="J2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4" s="5" t="str">
        <f>IF(Table1[[#This Row],[Unit''s Leave Quota]]&lt;=6, "Approved", "Quota Exceeded")</f>
        <v>Approved</v>
      </c>
      <c r="L24" s="5"/>
      <c r="M24" t="s">
        <v>82</v>
      </c>
    </row>
    <row r="25" spans="1:13" hidden="1" x14ac:dyDescent="0.3">
      <c r="A25" s="6">
        <v>45656</v>
      </c>
      <c r="B25" t="s">
        <v>12</v>
      </c>
      <c r="C25" t="s">
        <v>55</v>
      </c>
      <c r="D25" t="s">
        <v>79</v>
      </c>
      <c r="E25" s="5" t="s">
        <v>80</v>
      </c>
      <c r="F25" s="5" t="s">
        <v>16</v>
      </c>
      <c r="G25" s="7">
        <v>45715</v>
      </c>
      <c r="H25" s="7">
        <v>45717</v>
      </c>
      <c r="I25" s="5" t="s">
        <v>81</v>
      </c>
      <c r="J25" s="4" cm="1">
        <f t="array" ref="J2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25" s="5" t="str">
        <f>IF(Table1[[#This Row],[Unit''s Leave Quota]]&lt;=6, "Approved", "Quota Exceeded")</f>
        <v>Approved</v>
      </c>
      <c r="L25" s="5"/>
      <c r="M25" t="s">
        <v>83</v>
      </c>
    </row>
    <row r="26" spans="1:13" hidden="1" x14ac:dyDescent="0.3">
      <c r="A26" s="6">
        <v>45657</v>
      </c>
      <c r="B26" t="s">
        <v>12</v>
      </c>
      <c r="C26" t="s">
        <v>55</v>
      </c>
      <c r="D26" t="s">
        <v>84</v>
      </c>
      <c r="E26" s="5" t="s">
        <v>77</v>
      </c>
      <c r="F26" s="5" t="s">
        <v>16</v>
      </c>
      <c r="G26" s="7">
        <v>45674</v>
      </c>
      <c r="H26" s="7">
        <v>45675</v>
      </c>
      <c r="I26" s="5" t="s">
        <v>85</v>
      </c>
      <c r="J26" s="4" cm="1">
        <f t="array" ref="J2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6" s="5" t="str">
        <f>IF(Table1[[#This Row],[Unit''s Leave Quota]]&lt;=6, "Approved", "Quota Exceeded")</f>
        <v>Approved</v>
      </c>
      <c r="L26" s="5"/>
      <c r="M26" t="s">
        <v>86</v>
      </c>
    </row>
    <row r="27" spans="1:13" hidden="1" x14ac:dyDescent="0.3">
      <c r="A27" s="6">
        <v>45657</v>
      </c>
      <c r="B27" t="s">
        <v>12</v>
      </c>
      <c r="C27" t="s">
        <v>55</v>
      </c>
      <c r="D27" t="s">
        <v>84</v>
      </c>
      <c r="E27" s="5" t="s">
        <v>77</v>
      </c>
      <c r="F27" s="5" t="s">
        <v>16</v>
      </c>
      <c r="G27" s="7">
        <v>45694</v>
      </c>
      <c r="H27" s="7">
        <v>45698</v>
      </c>
      <c r="I27" s="5" t="s">
        <v>28</v>
      </c>
      <c r="J27" s="4" cm="1">
        <f t="array" ref="J2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7" s="5" t="str">
        <f>IF(Table1[[#This Row],[Unit''s Leave Quota]]&lt;=6, "Approved", "Quota Exceeded")</f>
        <v>Approved</v>
      </c>
      <c r="L27" s="5"/>
      <c r="M27" t="s">
        <v>87</v>
      </c>
    </row>
    <row r="28" spans="1:13" hidden="1" x14ac:dyDescent="0.3">
      <c r="A28" s="6">
        <v>45657</v>
      </c>
      <c r="B28" t="s">
        <v>12</v>
      </c>
      <c r="C28" t="s">
        <v>55</v>
      </c>
      <c r="D28" t="s">
        <v>84</v>
      </c>
      <c r="E28" s="5" t="s">
        <v>77</v>
      </c>
      <c r="F28" s="5" t="s">
        <v>16</v>
      </c>
      <c r="G28" s="7">
        <v>45710</v>
      </c>
      <c r="H28" s="7">
        <v>45711</v>
      </c>
      <c r="I28" s="5" t="s">
        <v>28</v>
      </c>
      <c r="J28" s="4" cm="1">
        <f t="array" ref="J2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8" s="5" t="str">
        <f>IF(Table1[[#This Row],[Unit''s Leave Quota]]&lt;=6, "Approved", "Quota Exceeded")</f>
        <v>Approved</v>
      </c>
      <c r="L28" s="5"/>
      <c r="M28" t="s">
        <v>88</v>
      </c>
    </row>
    <row r="29" spans="1:13" hidden="1" x14ac:dyDescent="0.3">
      <c r="A29" s="6">
        <v>45657</v>
      </c>
      <c r="B29" t="s">
        <v>12</v>
      </c>
      <c r="C29" t="s">
        <v>55</v>
      </c>
      <c r="D29" t="s">
        <v>84</v>
      </c>
      <c r="E29" s="5" t="s">
        <v>89</v>
      </c>
      <c r="F29" s="5" t="s">
        <v>16</v>
      </c>
      <c r="G29" s="7">
        <v>45721</v>
      </c>
      <c r="H29" s="7">
        <v>45725</v>
      </c>
      <c r="I29" s="5" t="s">
        <v>28</v>
      </c>
      <c r="J29" s="4" cm="1">
        <f t="array" ref="J2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9" s="5" t="str">
        <f>IF(Table1[[#This Row],[Unit''s Leave Quota]]&lt;=6, "Approved", "Quota Exceeded")</f>
        <v>Approved</v>
      </c>
      <c r="L29" s="5"/>
      <c r="M29" t="s">
        <v>90</v>
      </c>
    </row>
    <row r="30" spans="1:13" hidden="1" x14ac:dyDescent="0.3">
      <c r="A30" s="6">
        <v>45660</v>
      </c>
      <c r="B30" t="s">
        <v>45</v>
      </c>
      <c r="C30" t="s">
        <v>46</v>
      </c>
      <c r="D30" t="s">
        <v>71</v>
      </c>
      <c r="E30" s="5" t="s">
        <v>80</v>
      </c>
      <c r="F30" s="5" t="s">
        <v>16</v>
      </c>
      <c r="G30" s="7">
        <v>45663</v>
      </c>
      <c r="H30" s="7">
        <v>45663</v>
      </c>
      <c r="I30" s="5" t="s">
        <v>81</v>
      </c>
      <c r="J30" s="4" cm="1">
        <f t="array" ref="J3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30" s="5" t="str">
        <f>IF(Table1[[#This Row],[Unit''s Leave Quota]]&lt;=6, "Approved", "Quota Exceeded")</f>
        <v>Approved</v>
      </c>
      <c r="L30" s="5"/>
    </row>
    <row r="31" spans="1:13" hidden="1" x14ac:dyDescent="0.3">
      <c r="A31" s="6">
        <v>45660</v>
      </c>
      <c r="B31" t="s">
        <v>45</v>
      </c>
      <c r="C31" t="s">
        <v>55</v>
      </c>
      <c r="D31" t="s">
        <v>91</v>
      </c>
      <c r="E31" s="5" t="s">
        <v>77</v>
      </c>
      <c r="F31" s="5" t="s">
        <v>16</v>
      </c>
      <c r="G31" s="7">
        <v>45672</v>
      </c>
      <c r="H31" s="7">
        <v>45672</v>
      </c>
      <c r="I31" s="5" t="s">
        <v>44</v>
      </c>
      <c r="J31" s="4" cm="1">
        <f t="array" ref="J3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31" s="5" t="str">
        <f>IF(Table1[[#This Row],[Unit''s Leave Quota]]&lt;=6, "Approved", "Quota Exceeded")</f>
        <v>Approved</v>
      </c>
      <c r="L31" s="5"/>
    </row>
    <row r="32" spans="1:13" hidden="1" x14ac:dyDescent="0.3">
      <c r="A32" s="6">
        <v>45660</v>
      </c>
      <c r="B32" t="s">
        <v>12</v>
      </c>
      <c r="C32" t="s">
        <v>22</v>
      </c>
      <c r="D32" t="s">
        <v>92</v>
      </c>
      <c r="E32" s="5" t="s">
        <v>93</v>
      </c>
      <c r="F32" s="5" t="s">
        <v>16</v>
      </c>
      <c r="G32" s="7">
        <v>45824</v>
      </c>
      <c r="H32" s="7">
        <v>45838</v>
      </c>
      <c r="I32" s="5" t="s">
        <v>94</v>
      </c>
      <c r="J32" s="4" cm="1">
        <f t="array" ref="J3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32" s="5" t="str">
        <f>IF(Table1[[#This Row],[Unit''s Leave Quota]]&lt;=6, "Approved", "Quota Exceeded")</f>
        <v>Approved</v>
      </c>
      <c r="L32" s="5"/>
    </row>
    <row r="33" spans="1:13" hidden="1" x14ac:dyDescent="0.3">
      <c r="A33" s="6">
        <v>45663</v>
      </c>
      <c r="B33" t="s">
        <v>45</v>
      </c>
      <c r="C33" t="s">
        <v>55</v>
      </c>
      <c r="D33" t="s">
        <v>95</v>
      </c>
      <c r="E33" s="5" t="s">
        <v>77</v>
      </c>
      <c r="F33" s="5" t="s">
        <v>16</v>
      </c>
      <c r="G33" s="7">
        <v>45668</v>
      </c>
      <c r="H33" s="7">
        <v>45668</v>
      </c>
      <c r="I33" s="5" t="s">
        <v>25</v>
      </c>
      <c r="J33" s="4" cm="1">
        <f t="array" ref="J3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33" s="5" t="str">
        <f>IF(Table1[[#This Row],[Unit''s Leave Quota]]&lt;=6, "Approved", "Quota Exceeded")</f>
        <v>Approved</v>
      </c>
      <c r="L33" s="5"/>
      <c r="M33" t="s">
        <v>96</v>
      </c>
    </row>
    <row r="34" spans="1:13" hidden="1" x14ac:dyDescent="0.3">
      <c r="A34" s="6">
        <v>45663</v>
      </c>
      <c r="B34" t="s">
        <v>45</v>
      </c>
      <c r="C34" t="s">
        <v>55</v>
      </c>
      <c r="D34" t="s">
        <v>95</v>
      </c>
      <c r="E34" s="5" t="s">
        <v>77</v>
      </c>
      <c r="F34" s="5" t="s">
        <v>16</v>
      </c>
      <c r="G34" s="7">
        <v>45672</v>
      </c>
      <c r="H34" s="7">
        <v>45672</v>
      </c>
      <c r="I34" s="5" t="s">
        <v>25</v>
      </c>
      <c r="J34" s="4" cm="1">
        <f t="array" ref="J3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34" s="5" t="str">
        <f>IF(Table1[[#This Row],[Unit''s Leave Quota]]&lt;=6, "Approved", "Quota Exceeded")</f>
        <v>Approved</v>
      </c>
      <c r="L34" s="5"/>
      <c r="M34" t="s">
        <v>97</v>
      </c>
    </row>
    <row r="35" spans="1:13" hidden="1" x14ac:dyDescent="0.3">
      <c r="A35" s="6">
        <v>45663</v>
      </c>
      <c r="B35" t="s">
        <v>45</v>
      </c>
      <c r="C35" t="s">
        <v>55</v>
      </c>
      <c r="D35" t="s">
        <v>95</v>
      </c>
      <c r="E35" s="5" t="s">
        <v>77</v>
      </c>
      <c r="F35" s="5" t="s">
        <v>16</v>
      </c>
      <c r="G35" s="7">
        <v>45680</v>
      </c>
      <c r="H35" s="7">
        <v>45680</v>
      </c>
      <c r="I35" s="5" t="s">
        <v>25</v>
      </c>
      <c r="J35" s="4" cm="1">
        <f t="array" ref="J3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35" s="5" t="str">
        <f>IF(Table1[[#This Row],[Unit''s Leave Quota]]&lt;=6, "Approved", "Quota Exceeded")</f>
        <v>Approved</v>
      </c>
      <c r="L35" s="5"/>
      <c r="M35" t="s">
        <v>98</v>
      </c>
    </row>
    <row r="36" spans="1:13" hidden="1" x14ac:dyDescent="0.3">
      <c r="A36" s="6">
        <v>45663</v>
      </c>
      <c r="B36" t="s">
        <v>45</v>
      </c>
      <c r="C36" t="s">
        <v>55</v>
      </c>
      <c r="D36" t="s">
        <v>95</v>
      </c>
      <c r="E36" s="5" t="s">
        <v>77</v>
      </c>
      <c r="F36" s="5" t="s">
        <v>16</v>
      </c>
      <c r="G36" s="7">
        <v>45685</v>
      </c>
      <c r="H36" s="7">
        <v>45685</v>
      </c>
      <c r="I36" s="5" t="s">
        <v>25</v>
      </c>
      <c r="J36" s="4" cm="1">
        <f t="array" ref="J3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1</v>
      </c>
      <c r="K36" s="5" t="str">
        <f>IF(Table1[[#This Row],[Unit''s Leave Quota]]&lt;=6, "Approved", "Quota Exceeded")</f>
        <v>Approved</v>
      </c>
      <c r="L36" s="5"/>
      <c r="M36" t="s">
        <v>99</v>
      </c>
    </row>
    <row r="37" spans="1:13" hidden="1" x14ac:dyDescent="0.3">
      <c r="A37" s="6">
        <v>45663</v>
      </c>
      <c r="B37" t="s">
        <v>12</v>
      </c>
      <c r="C37" t="s">
        <v>22</v>
      </c>
      <c r="D37" t="s">
        <v>73</v>
      </c>
      <c r="E37" s="5" t="s">
        <v>100</v>
      </c>
      <c r="F37" s="5" t="s">
        <v>16</v>
      </c>
      <c r="G37" s="7">
        <v>45800</v>
      </c>
      <c r="H37" s="7">
        <v>45804</v>
      </c>
      <c r="I37" s="5" t="s">
        <v>25</v>
      </c>
      <c r="J37" s="4" cm="1">
        <f t="array" ref="J3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37" s="5" t="str">
        <f>IF(Table1[[#This Row],[Unit''s Leave Quota]]&lt;=6, "Approved", "Quota Exceeded")</f>
        <v>Approved</v>
      </c>
      <c r="L37" s="5"/>
    </row>
    <row r="38" spans="1:13" hidden="1" x14ac:dyDescent="0.3">
      <c r="A38" s="6">
        <v>45664</v>
      </c>
      <c r="B38" t="s">
        <v>12</v>
      </c>
      <c r="C38" t="s">
        <v>18</v>
      </c>
      <c r="D38" t="s">
        <v>101</v>
      </c>
      <c r="E38" s="5" t="s">
        <v>77</v>
      </c>
      <c r="F38" s="5" t="s">
        <v>16</v>
      </c>
      <c r="G38" s="7">
        <v>45664</v>
      </c>
      <c r="H38" s="7">
        <v>45665</v>
      </c>
      <c r="I38" s="5" t="s">
        <v>102</v>
      </c>
      <c r="J38" s="4" cm="1">
        <f t="array" ref="J3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38" s="5" t="str">
        <f>IF(Table1[[#This Row],[Unit''s Leave Quota]]&lt;=6, "Approved", "Quota Exceeded")</f>
        <v>Approved</v>
      </c>
      <c r="L38" s="5"/>
    </row>
    <row r="39" spans="1:13" hidden="1" x14ac:dyDescent="0.3">
      <c r="A39" s="9">
        <v>45666</v>
      </c>
      <c r="B39" s="10" t="s">
        <v>12</v>
      </c>
      <c r="C39" s="10" t="s">
        <v>22</v>
      </c>
      <c r="D39" s="10" t="s">
        <v>103</v>
      </c>
      <c r="E39" s="11" t="s">
        <v>75</v>
      </c>
      <c r="F39" s="11" t="s">
        <v>16</v>
      </c>
      <c r="G39" s="12">
        <v>45779</v>
      </c>
      <c r="H39" s="12">
        <v>45782</v>
      </c>
      <c r="I39" s="11" t="s">
        <v>94</v>
      </c>
      <c r="J39" s="13" cm="1">
        <f t="array" ref="J3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39" s="11" t="str">
        <f>IF(Table1[[#This Row],[Unit''s Leave Quota]]&lt;=6, "Approved", "Quota Exceeded")</f>
        <v>Approved</v>
      </c>
      <c r="L39" s="11"/>
      <c r="M39" s="10" t="s">
        <v>104</v>
      </c>
    </row>
    <row r="40" spans="1:13" hidden="1" x14ac:dyDescent="0.3">
      <c r="A40" s="6">
        <v>45671</v>
      </c>
      <c r="B40" t="s">
        <v>12</v>
      </c>
      <c r="C40" t="s">
        <v>18</v>
      </c>
      <c r="D40" t="s">
        <v>101</v>
      </c>
      <c r="E40" s="5" t="s">
        <v>77</v>
      </c>
      <c r="F40" s="5" t="s">
        <v>16</v>
      </c>
      <c r="G40" s="7">
        <v>45675</v>
      </c>
      <c r="H40" s="7">
        <v>45675</v>
      </c>
      <c r="I40" s="5" t="s">
        <v>81</v>
      </c>
      <c r="J40" s="4" cm="1">
        <f t="array" ref="J4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40" s="5" t="str">
        <f>IF(Table1[[#This Row],[Unit''s Leave Quota]]&lt;=6, "Approved", "Quota Exceeded")</f>
        <v>Approved</v>
      </c>
      <c r="L40" s="5"/>
    </row>
    <row r="41" spans="1:13" hidden="1" x14ac:dyDescent="0.3">
      <c r="A41" s="6">
        <v>45672</v>
      </c>
      <c r="B41" t="s">
        <v>45</v>
      </c>
      <c r="C41" t="s">
        <v>46</v>
      </c>
      <c r="D41" t="s">
        <v>47</v>
      </c>
      <c r="E41" s="5" t="s">
        <v>105</v>
      </c>
      <c r="F41" s="5" t="s">
        <v>16</v>
      </c>
      <c r="G41" s="7">
        <v>45673</v>
      </c>
      <c r="H41" s="7">
        <v>45673</v>
      </c>
      <c r="I41" s="5" t="s">
        <v>106</v>
      </c>
      <c r="J41" s="4" cm="1">
        <f t="array" ref="J4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41" s="5" t="str">
        <f>IF(Table1[[#This Row],[Unit''s Leave Quota]]&lt;=6, "Approved", "Quota Exceeded")</f>
        <v>Approved</v>
      </c>
      <c r="L41" s="5"/>
    </row>
    <row r="42" spans="1:13" hidden="1" x14ac:dyDescent="0.3">
      <c r="A42" s="6">
        <v>45672</v>
      </c>
      <c r="B42" t="s">
        <v>45</v>
      </c>
      <c r="C42" t="s">
        <v>46</v>
      </c>
      <c r="D42" t="s">
        <v>71</v>
      </c>
      <c r="E42" s="5" t="s">
        <v>80</v>
      </c>
      <c r="F42" s="5" t="s">
        <v>16</v>
      </c>
      <c r="G42" s="7">
        <v>45677</v>
      </c>
      <c r="H42" s="7">
        <v>45677</v>
      </c>
      <c r="I42" s="5" t="s">
        <v>49</v>
      </c>
      <c r="J42" s="4" cm="1">
        <f t="array" ref="J4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42" s="5" t="str">
        <f>IF(Table1[[#This Row],[Unit''s Leave Quota]]&lt;=6, "Approved", "Quota Exceeded")</f>
        <v>Approved</v>
      </c>
      <c r="L42" s="5"/>
    </row>
    <row r="43" spans="1:13" hidden="1" x14ac:dyDescent="0.3">
      <c r="A43" s="6">
        <v>45672</v>
      </c>
      <c r="B43" t="s">
        <v>45</v>
      </c>
      <c r="C43" t="s">
        <v>46</v>
      </c>
      <c r="D43" t="s">
        <v>71</v>
      </c>
      <c r="E43" s="5" t="s">
        <v>105</v>
      </c>
      <c r="F43" s="5" t="s">
        <v>16</v>
      </c>
      <c r="G43" s="7">
        <v>45695</v>
      </c>
      <c r="H43" s="7">
        <v>45697</v>
      </c>
      <c r="I43" s="5" t="s">
        <v>49</v>
      </c>
      <c r="J43" s="4" cm="1">
        <f t="array" ref="J4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43" s="5" t="str">
        <f>IF(Table1[[#This Row],[Unit''s Leave Quota]]&lt;=6, "Approved", "Quota Exceeded")</f>
        <v>Approved</v>
      </c>
      <c r="L43" s="5"/>
    </row>
    <row r="44" spans="1:13" hidden="1" x14ac:dyDescent="0.3">
      <c r="A44" s="6">
        <v>45674</v>
      </c>
      <c r="B44" t="s">
        <v>45</v>
      </c>
      <c r="C44" t="s">
        <v>18</v>
      </c>
      <c r="D44" t="s">
        <v>67</v>
      </c>
      <c r="E44" s="5" t="s">
        <v>105</v>
      </c>
      <c r="F44" s="5" t="s">
        <v>16</v>
      </c>
      <c r="G44" s="7">
        <v>45675</v>
      </c>
      <c r="H44" s="7">
        <v>45675</v>
      </c>
      <c r="I44" s="5" t="s">
        <v>85</v>
      </c>
      <c r="J44" s="4" cm="1">
        <f t="array" ref="J4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44" s="5" t="str">
        <f>IF(Table1[[#This Row],[Unit''s Leave Quota]]&lt;=6, "Approved", "Quota Exceeded")</f>
        <v>Approved</v>
      </c>
      <c r="L44" s="5"/>
    </row>
    <row r="45" spans="1:13" hidden="1" x14ac:dyDescent="0.3">
      <c r="A45" s="6">
        <v>45676</v>
      </c>
      <c r="B45" t="s">
        <v>45</v>
      </c>
      <c r="C45" t="s">
        <v>18</v>
      </c>
      <c r="D45" t="s">
        <v>107</v>
      </c>
      <c r="E45" s="5" t="s">
        <v>77</v>
      </c>
      <c r="F45" s="5" t="s">
        <v>16</v>
      </c>
      <c r="G45" s="7">
        <v>45703</v>
      </c>
      <c r="H45" s="7">
        <v>45704</v>
      </c>
      <c r="I45" s="5" t="s">
        <v>94</v>
      </c>
      <c r="J45" s="4" cm="1">
        <f t="array" ref="J4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45" s="5" t="str">
        <f>IF(Table1[[#This Row],[Unit''s Leave Quota]]&lt;=6, "Approved", "Quota Exceeded")</f>
        <v>Approved</v>
      </c>
      <c r="L45" s="5"/>
    </row>
    <row r="46" spans="1:13" hidden="1" x14ac:dyDescent="0.3">
      <c r="A46" s="6">
        <v>45676</v>
      </c>
      <c r="B46" t="s">
        <v>45</v>
      </c>
      <c r="C46" t="s">
        <v>34</v>
      </c>
      <c r="D46" t="s">
        <v>108</v>
      </c>
      <c r="E46" s="5" t="s">
        <v>109</v>
      </c>
      <c r="F46" s="5" t="s">
        <v>16</v>
      </c>
      <c r="G46" s="7">
        <v>45730</v>
      </c>
      <c r="H46" s="7">
        <v>45732</v>
      </c>
      <c r="I46" s="5" t="s">
        <v>32</v>
      </c>
      <c r="J46" s="4" cm="1">
        <f t="array" ref="J4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1</v>
      </c>
      <c r="K46" s="5" t="str">
        <f>IF(Table1[[#This Row],[Unit''s Leave Quota]]&lt;=6, "Approved", "Quota Exceeded")</f>
        <v>Approved</v>
      </c>
      <c r="L46" s="5"/>
    </row>
    <row r="47" spans="1:13" hidden="1" x14ac:dyDescent="0.3">
      <c r="A47" s="6">
        <v>45677</v>
      </c>
      <c r="B47" t="s">
        <v>12</v>
      </c>
      <c r="C47" t="s">
        <v>55</v>
      </c>
      <c r="D47" t="s">
        <v>79</v>
      </c>
      <c r="E47" s="5" t="s">
        <v>110</v>
      </c>
      <c r="F47" s="5" t="s">
        <v>16</v>
      </c>
      <c r="G47" s="7">
        <v>45723</v>
      </c>
      <c r="H47" s="7">
        <v>45726</v>
      </c>
      <c r="I47" s="5" t="s">
        <v>81</v>
      </c>
      <c r="J47" s="4" cm="1">
        <f t="array" ref="J4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47" s="5" t="str">
        <f>IF(Table1[[#This Row],[Unit''s Leave Quota]]&lt;=6, "Approved", "Quota Exceeded")</f>
        <v>Approved</v>
      </c>
      <c r="L47" s="5"/>
    </row>
    <row r="48" spans="1:13" hidden="1" x14ac:dyDescent="0.3">
      <c r="A48" s="6">
        <v>45680</v>
      </c>
      <c r="B48" t="s">
        <v>12</v>
      </c>
      <c r="C48" t="s">
        <v>18</v>
      </c>
      <c r="D48" t="s">
        <v>19</v>
      </c>
      <c r="E48" s="5" t="s">
        <v>111</v>
      </c>
      <c r="F48" s="5" t="s">
        <v>16</v>
      </c>
      <c r="G48" s="7">
        <v>45800</v>
      </c>
      <c r="H48" s="7">
        <v>45809</v>
      </c>
      <c r="I48" s="5" t="s">
        <v>49</v>
      </c>
      <c r="J48" s="4" cm="1">
        <f t="array" ref="J4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48" s="5" t="str">
        <f>IF(Table1[[#This Row],[Unit''s Leave Quota]]&lt;=6, "Approved", "Quota Exceeded")</f>
        <v>Approved</v>
      </c>
      <c r="L48" s="5"/>
      <c r="M48" t="s">
        <v>112</v>
      </c>
    </row>
    <row r="49" spans="1:13" hidden="1" x14ac:dyDescent="0.3">
      <c r="A49" s="6">
        <v>45684</v>
      </c>
      <c r="B49" t="s">
        <v>45</v>
      </c>
      <c r="C49" t="s">
        <v>55</v>
      </c>
      <c r="D49" t="s">
        <v>95</v>
      </c>
      <c r="E49" s="5" t="s">
        <v>77</v>
      </c>
      <c r="F49" s="5" t="s">
        <v>16</v>
      </c>
      <c r="G49" s="7">
        <v>45689</v>
      </c>
      <c r="H49" s="7">
        <v>45689</v>
      </c>
      <c r="I49" s="5" t="s">
        <v>25</v>
      </c>
      <c r="J49" s="4" cm="1">
        <f t="array" ref="J4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1</v>
      </c>
      <c r="K49" s="5" t="str">
        <f>IF(Table1[[#This Row],[Unit''s Leave Quota]]&lt;=6, "Approved", "Quota Exceeded")</f>
        <v>Approved</v>
      </c>
      <c r="L49" s="5"/>
      <c r="M49" t="s">
        <v>113</v>
      </c>
    </row>
    <row r="50" spans="1:13" hidden="1" x14ac:dyDescent="0.3">
      <c r="A50" s="6">
        <v>45684</v>
      </c>
      <c r="B50" t="s">
        <v>45</v>
      </c>
      <c r="C50" t="s">
        <v>55</v>
      </c>
      <c r="D50" t="s">
        <v>95</v>
      </c>
      <c r="E50" s="5" t="s">
        <v>105</v>
      </c>
      <c r="F50" s="5" t="s">
        <v>16</v>
      </c>
      <c r="G50" s="7">
        <v>45693</v>
      </c>
      <c r="H50" s="7">
        <v>45693</v>
      </c>
      <c r="I50" s="5" t="s">
        <v>25</v>
      </c>
      <c r="J50" s="4" cm="1">
        <f t="array" ref="J5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1</v>
      </c>
      <c r="K50" s="5" t="str">
        <f>IF(Table1[[#This Row],[Unit''s Leave Quota]]&lt;=6, "Approved", "Quota Exceeded")</f>
        <v>Approved</v>
      </c>
      <c r="L50" s="5"/>
      <c r="M50" t="s">
        <v>113</v>
      </c>
    </row>
    <row r="51" spans="1:13" hidden="1" x14ac:dyDescent="0.3">
      <c r="A51" s="6">
        <v>45684</v>
      </c>
      <c r="B51" t="s">
        <v>45</v>
      </c>
      <c r="C51" t="s">
        <v>55</v>
      </c>
      <c r="D51" t="s">
        <v>95</v>
      </c>
      <c r="E51" s="5" t="s">
        <v>77</v>
      </c>
      <c r="F51" s="5" t="s">
        <v>16</v>
      </c>
      <c r="G51" s="7">
        <v>45697</v>
      </c>
      <c r="H51" s="7">
        <v>45697</v>
      </c>
      <c r="I51" s="5" t="s">
        <v>25</v>
      </c>
      <c r="J51" s="4" cm="1">
        <f t="array" ref="J5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51" s="5" t="str">
        <f>IF(Table1[[#This Row],[Unit''s Leave Quota]]&lt;=6, "Approved", "Quota Exceeded")</f>
        <v>Approved</v>
      </c>
      <c r="L51" s="5"/>
      <c r="M51" t="s">
        <v>113</v>
      </c>
    </row>
    <row r="52" spans="1:13" hidden="1" x14ac:dyDescent="0.3">
      <c r="A52" s="6">
        <v>45684</v>
      </c>
      <c r="B52" t="s">
        <v>45</v>
      </c>
      <c r="C52" t="s">
        <v>55</v>
      </c>
      <c r="D52" t="s">
        <v>95</v>
      </c>
      <c r="E52" s="5" t="s">
        <v>77</v>
      </c>
      <c r="F52" s="5" t="s">
        <v>16</v>
      </c>
      <c r="G52" s="7">
        <v>45703</v>
      </c>
      <c r="H52" s="7">
        <v>45704</v>
      </c>
      <c r="I52" s="5" t="s">
        <v>25</v>
      </c>
      <c r="J52" s="4" cm="1">
        <f t="array" ref="J5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52" s="5" t="str">
        <f>IF(Table1[[#This Row],[Unit''s Leave Quota]]&lt;=6, "Approved", "Quota Exceeded")</f>
        <v>Approved</v>
      </c>
      <c r="L52" s="5"/>
    </row>
    <row r="53" spans="1:13" hidden="1" x14ac:dyDescent="0.3">
      <c r="A53" s="6">
        <v>45684</v>
      </c>
      <c r="B53" t="s">
        <v>45</v>
      </c>
      <c r="C53" t="s">
        <v>55</v>
      </c>
      <c r="D53" t="s">
        <v>95</v>
      </c>
      <c r="E53" s="5" t="s">
        <v>77</v>
      </c>
      <c r="F53" s="5" t="s">
        <v>16</v>
      </c>
      <c r="G53" s="7">
        <v>45708</v>
      </c>
      <c r="H53" s="7">
        <v>45708</v>
      </c>
      <c r="I53" s="5" t="s">
        <v>25</v>
      </c>
      <c r="J53" s="4" cm="1">
        <f t="array" ref="J5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53" s="5" t="str">
        <f>IF(Table1[[#This Row],[Unit''s Leave Quota]]&lt;=6, "Approved", "Quota Exceeded")</f>
        <v>Approved</v>
      </c>
      <c r="L53" s="5"/>
      <c r="M53" t="s">
        <v>113</v>
      </c>
    </row>
    <row r="54" spans="1:13" hidden="1" x14ac:dyDescent="0.3">
      <c r="A54" s="6">
        <v>45684</v>
      </c>
      <c r="B54" t="s">
        <v>45</v>
      </c>
      <c r="C54" t="s">
        <v>55</v>
      </c>
      <c r="D54" t="s">
        <v>95</v>
      </c>
      <c r="E54" s="5" t="s">
        <v>77</v>
      </c>
      <c r="F54" s="5" t="s">
        <v>16</v>
      </c>
      <c r="G54" s="7">
        <v>45716</v>
      </c>
      <c r="H54" s="7">
        <v>45716</v>
      </c>
      <c r="I54" s="5" t="s">
        <v>25</v>
      </c>
      <c r="J54" s="4" cm="1">
        <f t="array" ref="J5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54" s="5" t="str">
        <f>IF(Table1[[#This Row],[Unit''s Leave Quota]]&lt;=6, "Approved", "Quota Exceeded")</f>
        <v>Approved</v>
      </c>
      <c r="L54" s="5"/>
      <c r="M54" t="s">
        <v>113</v>
      </c>
    </row>
    <row r="55" spans="1:13" hidden="1" x14ac:dyDescent="0.3">
      <c r="A55" s="6">
        <v>45688</v>
      </c>
      <c r="B55" t="s">
        <v>45</v>
      </c>
      <c r="C55" t="s">
        <v>13</v>
      </c>
      <c r="D55" t="s">
        <v>67</v>
      </c>
      <c r="E55" s="5" t="s">
        <v>77</v>
      </c>
      <c r="F55" s="5" t="s">
        <v>16</v>
      </c>
      <c r="G55" s="7">
        <v>45724</v>
      </c>
      <c r="H55" s="7">
        <v>45725</v>
      </c>
      <c r="I55" s="5" t="s">
        <v>85</v>
      </c>
      <c r="J55" s="4" cm="1">
        <f t="array" ref="J5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55" s="5" t="str">
        <f>IF(Table1[[#This Row],[Unit''s Leave Quota]]&lt;=6, "Approved", "Quota Exceeded")</f>
        <v>Approved</v>
      </c>
      <c r="L55" s="5"/>
    </row>
    <row r="56" spans="1:13" hidden="1" x14ac:dyDescent="0.3">
      <c r="A56" s="6">
        <v>45688</v>
      </c>
      <c r="B56" t="s">
        <v>12</v>
      </c>
      <c r="C56" t="s">
        <v>22</v>
      </c>
      <c r="D56" t="s">
        <v>26</v>
      </c>
      <c r="E56" s="5" t="s">
        <v>77</v>
      </c>
      <c r="F56" s="5" t="s">
        <v>16</v>
      </c>
      <c r="G56" s="7">
        <v>45737</v>
      </c>
      <c r="H56" s="7">
        <v>45741</v>
      </c>
      <c r="I56" s="5" t="s">
        <v>85</v>
      </c>
      <c r="J56" s="4" cm="1">
        <f t="array" ref="J5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56" s="5" t="str">
        <f>IF(Table1[[#This Row],[Unit''s Leave Quota]]&lt;=6, "Approved", "Quota Exceeded")</f>
        <v>Approved</v>
      </c>
      <c r="L56" s="5"/>
    </row>
    <row r="57" spans="1:13" hidden="1" x14ac:dyDescent="0.3">
      <c r="A57" s="9">
        <v>45688</v>
      </c>
      <c r="B57" s="10" t="s">
        <v>12</v>
      </c>
      <c r="C57" s="10" t="s">
        <v>114</v>
      </c>
      <c r="D57" s="10" t="s">
        <v>108</v>
      </c>
      <c r="E57" s="11" t="s">
        <v>115</v>
      </c>
      <c r="F57" s="11" t="s">
        <v>16</v>
      </c>
      <c r="G57" s="12">
        <v>45792</v>
      </c>
      <c r="H57" s="12">
        <v>45798</v>
      </c>
      <c r="I57" s="11" t="s">
        <v>32</v>
      </c>
      <c r="J57" s="13" cm="1">
        <f t="array" ref="J5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57" s="11" t="str">
        <f>IF(Table1[[#This Row],[Unit''s Leave Quota]]&lt;=6, "Approved", "Quota Exceeded")</f>
        <v>Approved</v>
      </c>
      <c r="L57" s="11"/>
      <c r="M57" s="10"/>
    </row>
    <row r="58" spans="1:13" hidden="1" x14ac:dyDescent="0.3">
      <c r="A58" s="6">
        <v>45688</v>
      </c>
      <c r="B58" t="s">
        <v>12</v>
      </c>
      <c r="C58" t="s">
        <v>22</v>
      </c>
      <c r="D58" t="s">
        <v>116</v>
      </c>
      <c r="E58" s="5" t="s">
        <v>117</v>
      </c>
      <c r="F58" s="5" t="s">
        <v>16</v>
      </c>
      <c r="G58" s="7">
        <v>45799</v>
      </c>
      <c r="H58" s="7">
        <v>45807</v>
      </c>
      <c r="I58" s="5" t="s">
        <v>85</v>
      </c>
      <c r="J58" s="4" cm="1">
        <f t="array" ref="J5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58" s="5" t="str">
        <f>IF(Table1[[#This Row],[Unit''s Leave Quota]]&lt;=6, "Approved", "Quota Exceeded")</f>
        <v>Approved</v>
      </c>
      <c r="L58" s="5"/>
    </row>
    <row r="59" spans="1:13" hidden="1" x14ac:dyDescent="0.3">
      <c r="A59" s="6">
        <v>45688</v>
      </c>
      <c r="B59" t="s">
        <v>12</v>
      </c>
      <c r="C59" t="s">
        <v>22</v>
      </c>
      <c r="D59" t="s">
        <v>26</v>
      </c>
      <c r="E59" s="5" t="s">
        <v>118</v>
      </c>
      <c r="F59" s="5" t="s">
        <v>16</v>
      </c>
      <c r="G59" s="7">
        <v>45808</v>
      </c>
      <c r="H59" s="7">
        <v>45809</v>
      </c>
      <c r="I59" s="5" t="s">
        <v>85</v>
      </c>
      <c r="J59" s="4" cm="1">
        <f t="array" ref="J5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59" s="5" t="str">
        <f>IF(Table1[[#This Row],[Unit''s Leave Quota]]&lt;=6, "Approved", "Quota Exceeded")</f>
        <v>Approved</v>
      </c>
      <c r="L59" s="5"/>
    </row>
    <row r="60" spans="1:13" hidden="1" x14ac:dyDescent="0.3">
      <c r="A60" s="6">
        <v>45688</v>
      </c>
      <c r="B60" t="s">
        <v>12</v>
      </c>
      <c r="C60" t="s">
        <v>22</v>
      </c>
      <c r="D60" t="s">
        <v>26</v>
      </c>
      <c r="E60" s="5" t="s">
        <v>119</v>
      </c>
      <c r="F60" s="5" t="s">
        <v>16</v>
      </c>
      <c r="G60" s="7">
        <v>45916</v>
      </c>
      <c r="H60" s="7">
        <v>45921</v>
      </c>
      <c r="I60" s="5" t="s">
        <v>85</v>
      </c>
      <c r="J60" s="4" cm="1">
        <f t="array" ref="J6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60" s="5" t="str">
        <f>IF(Table1[[#This Row],[Unit''s Leave Quota]]&lt;=6, "Approved", "Quota Exceeded")</f>
        <v>Approved</v>
      </c>
      <c r="L60" s="5"/>
    </row>
    <row r="61" spans="1:13" hidden="1" x14ac:dyDescent="0.3">
      <c r="A61" s="6">
        <v>45688</v>
      </c>
      <c r="B61" t="s">
        <v>12</v>
      </c>
      <c r="C61" t="s">
        <v>120</v>
      </c>
      <c r="D61" t="s">
        <v>108</v>
      </c>
      <c r="E61" s="5" t="s">
        <v>66</v>
      </c>
      <c r="F61" s="5" t="s">
        <v>16</v>
      </c>
      <c r="G61" s="7">
        <v>45917</v>
      </c>
      <c r="H61" s="7">
        <v>45921</v>
      </c>
      <c r="I61" s="5" t="s">
        <v>32</v>
      </c>
      <c r="J61" s="4" cm="1">
        <f t="array" ref="J6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61" s="5" t="str">
        <f>IF(Table1[[#This Row],[Unit''s Leave Quota]]&lt;=6, "Approved", "Quota Exceeded")</f>
        <v>Approved</v>
      </c>
      <c r="L61" s="5"/>
    </row>
    <row r="62" spans="1:13" hidden="1" x14ac:dyDescent="0.3">
      <c r="A62" s="6">
        <v>45688</v>
      </c>
      <c r="B62" t="s">
        <v>12</v>
      </c>
      <c r="C62" t="s">
        <v>13</v>
      </c>
      <c r="D62" t="s">
        <v>121</v>
      </c>
      <c r="E62" s="5" t="s">
        <v>80</v>
      </c>
      <c r="F62" s="5" t="s">
        <v>16</v>
      </c>
      <c r="G62" s="7">
        <v>45991</v>
      </c>
      <c r="H62" s="7">
        <v>46006</v>
      </c>
      <c r="I62" s="5" t="s">
        <v>85</v>
      </c>
      <c r="J62" s="4" cm="1">
        <f t="array" ref="J6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62" s="5" t="str">
        <f>IF(Table1[[#This Row],[Unit''s Leave Quota]]&lt;=6, "Approved", "Quota Exceeded")</f>
        <v>Approved</v>
      </c>
      <c r="L62" s="5"/>
    </row>
    <row r="63" spans="1:13" x14ac:dyDescent="0.3">
      <c r="A63" s="6">
        <v>45688</v>
      </c>
      <c r="B63" t="s">
        <v>12</v>
      </c>
      <c r="C63" t="s">
        <v>22</v>
      </c>
      <c r="D63" t="s">
        <v>116</v>
      </c>
      <c r="E63" s="5" t="s">
        <v>122</v>
      </c>
      <c r="F63" s="5" t="s">
        <v>16</v>
      </c>
      <c r="G63" s="7">
        <v>46017</v>
      </c>
      <c r="H63" s="7">
        <v>46025</v>
      </c>
      <c r="I63" s="5" t="s">
        <v>85</v>
      </c>
      <c r="J63" s="4" cm="1">
        <f t="array" ref="J6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63" s="5" t="str">
        <f>IF(Table1[[#This Row],[Unit''s Leave Quota]]&lt;=6, "Approved", "Quota Exceeded")</f>
        <v>Approved</v>
      </c>
      <c r="L63" s="5"/>
    </row>
    <row r="64" spans="1:13" hidden="1" x14ac:dyDescent="0.3">
      <c r="A64" s="6">
        <v>45693</v>
      </c>
      <c r="B64" t="s">
        <v>12</v>
      </c>
      <c r="C64" t="s">
        <v>22</v>
      </c>
      <c r="D64" t="s">
        <v>123</v>
      </c>
      <c r="E64" s="5" t="s">
        <v>15</v>
      </c>
      <c r="F64" s="5" t="s">
        <v>16</v>
      </c>
      <c r="G64" s="7">
        <v>45834</v>
      </c>
      <c r="H64" s="7">
        <v>45839</v>
      </c>
      <c r="I64" s="5" t="s">
        <v>94</v>
      </c>
      <c r="J64" s="4" cm="1">
        <f t="array" ref="J6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64" s="5" t="str">
        <f>IF(Table1[[#This Row],[Unit''s Leave Quota]]&lt;=6, "Approved", "Quota Exceeded")</f>
        <v>Approved</v>
      </c>
      <c r="L64" s="5"/>
    </row>
    <row r="65" spans="1:13" hidden="1" x14ac:dyDescent="0.3">
      <c r="A65" s="6">
        <v>45693</v>
      </c>
      <c r="B65" t="s">
        <v>12</v>
      </c>
      <c r="C65" t="s">
        <v>41</v>
      </c>
      <c r="D65" t="s">
        <v>42</v>
      </c>
      <c r="E65" s="5" t="s">
        <v>124</v>
      </c>
      <c r="F65" s="5" t="s">
        <v>16</v>
      </c>
      <c r="G65" s="7">
        <v>45905</v>
      </c>
      <c r="H65" s="7">
        <v>45915</v>
      </c>
      <c r="I65" s="5" t="s">
        <v>44</v>
      </c>
      <c r="J65" s="4" cm="1">
        <f t="array" ref="J6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65" s="5" t="str">
        <f>IF(Table1[[#This Row],[Unit''s Leave Quota]]&lt;=6, "Approved", "Quota Exceeded")</f>
        <v>Approved</v>
      </c>
      <c r="L65" s="5"/>
    </row>
    <row r="66" spans="1:13" hidden="1" x14ac:dyDescent="0.3">
      <c r="A66" s="6">
        <v>45697</v>
      </c>
      <c r="B66" t="s">
        <v>12</v>
      </c>
      <c r="C66" t="s">
        <v>18</v>
      </c>
      <c r="D66" t="s">
        <v>101</v>
      </c>
      <c r="E66" s="5" t="s">
        <v>77</v>
      </c>
      <c r="F66" s="5" t="s">
        <v>16</v>
      </c>
      <c r="G66" s="7">
        <v>45715</v>
      </c>
      <c r="H66" s="7">
        <v>45715</v>
      </c>
      <c r="I66" s="5" t="s">
        <v>81</v>
      </c>
      <c r="J66" s="4" cm="1">
        <f t="array" ref="J6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66" s="5" t="str">
        <f>IF(Table1[[#This Row],[Unit''s Leave Quota]]&lt;=6, "Approved", "Quota Exceeded")</f>
        <v>Approved</v>
      </c>
      <c r="L66" s="5"/>
    </row>
    <row r="67" spans="1:13" hidden="1" x14ac:dyDescent="0.3">
      <c r="A67" s="6">
        <v>45697</v>
      </c>
      <c r="B67" t="s">
        <v>12</v>
      </c>
      <c r="C67" t="s">
        <v>18</v>
      </c>
      <c r="D67" t="s">
        <v>101</v>
      </c>
      <c r="E67" s="5" t="s">
        <v>125</v>
      </c>
      <c r="F67" s="5" t="s">
        <v>16</v>
      </c>
      <c r="G67" s="7">
        <v>45783</v>
      </c>
      <c r="H67" s="7">
        <v>45788</v>
      </c>
      <c r="I67" s="5" t="s">
        <v>81</v>
      </c>
      <c r="J67" s="4" cm="1">
        <f t="array" ref="J6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67" s="5" t="str">
        <f>IF(Table1[[#This Row],[Unit''s Leave Quota]]&lt;=6, "Approved", "Quota Exceeded")</f>
        <v>Approved</v>
      </c>
      <c r="L67" s="5"/>
    </row>
    <row r="68" spans="1:13" hidden="1" x14ac:dyDescent="0.3">
      <c r="A68" s="6">
        <v>45703</v>
      </c>
      <c r="B68" t="s">
        <v>45</v>
      </c>
      <c r="C68" t="s">
        <v>22</v>
      </c>
      <c r="D68" t="s">
        <v>123</v>
      </c>
      <c r="E68" s="5" t="s">
        <v>125</v>
      </c>
      <c r="F68" s="5" t="s">
        <v>16</v>
      </c>
      <c r="G68" s="7">
        <v>45710</v>
      </c>
      <c r="H68" s="7">
        <v>45711</v>
      </c>
      <c r="I68" s="5" t="s">
        <v>94</v>
      </c>
      <c r="J68" s="4" cm="1">
        <f t="array" ref="J6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68" s="5" t="str">
        <f>IF(Table1[[#This Row],[Unit''s Leave Quota]]&lt;=6, "Approved", "Quota Exceeded")</f>
        <v>Approved</v>
      </c>
      <c r="L68" s="5"/>
    </row>
    <row r="69" spans="1:13" hidden="1" x14ac:dyDescent="0.3">
      <c r="A69" s="6">
        <v>45705</v>
      </c>
      <c r="B69" t="s">
        <v>45</v>
      </c>
      <c r="C69" t="s">
        <v>46</v>
      </c>
      <c r="D69" t="s">
        <v>51</v>
      </c>
      <c r="E69" s="5" t="s">
        <v>77</v>
      </c>
      <c r="F69" s="5" t="s">
        <v>16</v>
      </c>
      <c r="G69" s="7">
        <v>45708</v>
      </c>
      <c r="H69" s="7">
        <v>45708</v>
      </c>
      <c r="I69" s="5" t="s">
        <v>25</v>
      </c>
      <c r="J69" s="4" cm="1">
        <f t="array" ref="J6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69" s="5" t="str">
        <f>IF(Table1[[#This Row],[Unit''s Leave Quota]]&lt;=6, "Approved", "Quota Exceeded")</f>
        <v>Approved</v>
      </c>
      <c r="L69" s="5"/>
      <c r="M69" t="s">
        <v>126</v>
      </c>
    </row>
    <row r="70" spans="1:13" hidden="1" x14ac:dyDescent="0.3">
      <c r="A70" s="6">
        <v>45706</v>
      </c>
      <c r="B70" t="s">
        <v>45</v>
      </c>
      <c r="C70" t="s">
        <v>55</v>
      </c>
      <c r="D70" t="s">
        <v>95</v>
      </c>
      <c r="E70" s="5" t="s">
        <v>77</v>
      </c>
      <c r="F70" s="5" t="s">
        <v>16</v>
      </c>
      <c r="G70" s="7">
        <v>45710</v>
      </c>
      <c r="H70" s="7">
        <v>45711</v>
      </c>
      <c r="I70" s="5" t="s">
        <v>25</v>
      </c>
      <c r="J70" s="4" cm="1">
        <f t="array" ref="J7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70" s="5" t="str">
        <f>IF(Table1[[#This Row],[Unit''s Leave Quota]]&lt;=6, "Approved", "Quota Exceeded")</f>
        <v>Approved</v>
      </c>
      <c r="L70" s="5"/>
    </row>
    <row r="71" spans="1:13" hidden="1" x14ac:dyDescent="0.3">
      <c r="A71" s="6">
        <v>45707</v>
      </c>
      <c r="B71" t="s">
        <v>45</v>
      </c>
      <c r="C71" t="s">
        <v>46</v>
      </c>
      <c r="D71" t="s">
        <v>71</v>
      </c>
      <c r="E71" s="5" t="s">
        <v>105</v>
      </c>
      <c r="F71" s="5" t="s">
        <v>16</v>
      </c>
      <c r="G71" s="7">
        <v>45712</v>
      </c>
      <c r="H71" s="7">
        <v>45712</v>
      </c>
      <c r="I71" s="5" t="s">
        <v>49</v>
      </c>
      <c r="J71" s="4" cm="1">
        <f t="array" ref="J7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71" s="5" t="str">
        <f>IF(Table1[[#This Row],[Unit''s Leave Quota]]&lt;=6, "Approved", "Quota Exceeded")</f>
        <v>Approved</v>
      </c>
      <c r="L71" s="5"/>
    </row>
    <row r="72" spans="1:13" hidden="1" x14ac:dyDescent="0.3">
      <c r="A72" s="6">
        <v>45707</v>
      </c>
      <c r="B72" t="s">
        <v>45</v>
      </c>
      <c r="C72" t="s">
        <v>46</v>
      </c>
      <c r="D72" t="s">
        <v>71</v>
      </c>
      <c r="E72" s="5" t="s">
        <v>105</v>
      </c>
      <c r="F72" s="5" t="s">
        <v>16</v>
      </c>
      <c r="G72" s="7">
        <v>45714</v>
      </c>
      <c r="H72" s="7">
        <v>45714</v>
      </c>
      <c r="I72" s="5" t="s">
        <v>49</v>
      </c>
      <c r="J72" s="4" cm="1">
        <f t="array" ref="J7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72" s="5" t="str">
        <f>IF(Table1[[#This Row],[Unit''s Leave Quota]]&lt;=6, "Approved", "Quota Exceeded")</f>
        <v>Approved</v>
      </c>
      <c r="L72" s="5"/>
    </row>
    <row r="73" spans="1:13" hidden="1" x14ac:dyDescent="0.3">
      <c r="A73" s="6">
        <v>45707</v>
      </c>
      <c r="B73" t="s">
        <v>45</v>
      </c>
      <c r="C73" t="s">
        <v>46</v>
      </c>
      <c r="D73" t="s">
        <v>71</v>
      </c>
      <c r="E73" s="5" t="s">
        <v>105</v>
      </c>
      <c r="F73" s="5" t="s">
        <v>16</v>
      </c>
      <c r="G73" s="7">
        <v>45719</v>
      </c>
      <c r="H73" s="7">
        <v>45719</v>
      </c>
      <c r="I73" s="5" t="s">
        <v>49</v>
      </c>
      <c r="J73" s="4" cm="1">
        <f t="array" ref="J7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73" s="5" t="str">
        <f>IF(Table1[[#This Row],[Unit''s Leave Quota]]&lt;=6, "Approved", "Quota Exceeded")</f>
        <v>Approved</v>
      </c>
      <c r="L73" s="5"/>
    </row>
    <row r="74" spans="1:13" hidden="1" x14ac:dyDescent="0.3">
      <c r="A74" s="6">
        <v>45708</v>
      </c>
      <c r="B74" t="s">
        <v>45</v>
      </c>
      <c r="C74" t="s">
        <v>50</v>
      </c>
      <c r="D74" t="s">
        <v>127</v>
      </c>
      <c r="E74" s="5" t="s">
        <v>77</v>
      </c>
      <c r="F74" s="5" t="s">
        <v>16</v>
      </c>
      <c r="G74" s="7">
        <v>45709</v>
      </c>
      <c r="H74" s="7">
        <v>45711</v>
      </c>
      <c r="I74" s="5" t="s">
        <v>85</v>
      </c>
      <c r="J74" s="4" cm="1">
        <f t="array" ref="J7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74" s="5" t="str">
        <f>IF(Table1[[#This Row],[Unit''s Leave Quota]]&lt;=6, "Approved", "Quota Exceeded")</f>
        <v>Approved</v>
      </c>
      <c r="L74" s="5"/>
      <c r="M74" t="s">
        <v>128</v>
      </c>
    </row>
    <row r="75" spans="1:13" hidden="1" x14ac:dyDescent="0.3">
      <c r="A75" s="6">
        <v>45713</v>
      </c>
      <c r="B75" t="s">
        <v>45</v>
      </c>
      <c r="C75" t="s">
        <v>46</v>
      </c>
      <c r="D75" t="s">
        <v>47</v>
      </c>
      <c r="E75" s="5" t="s">
        <v>105</v>
      </c>
      <c r="F75" s="5" t="s">
        <v>16</v>
      </c>
      <c r="G75" s="7">
        <v>45714</v>
      </c>
      <c r="H75" s="7">
        <v>45714</v>
      </c>
      <c r="I75" s="5" t="s">
        <v>49</v>
      </c>
      <c r="J75" s="4" cm="1">
        <f t="array" ref="J7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75" s="5" t="str">
        <f>IF(Table1[[#This Row],[Unit''s Leave Quota]]&lt;=6, "Approved", "Quota Exceeded")</f>
        <v>Approved</v>
      </c>
      <c r="L75" s="5"/>
    </row>
    <row r="76" spans="1:13" hidden="1" x14ac:dyDescent="0.3">
      <c r="A76" s="6">
        <v>45719</v>
      </c>
      <c r="B76" t="s">
        <v>12</v>
      </c>
      <c r="C76" t="s">
        <v>50</v>
      </c>
      <c r="D76" t="s">
        <v>129</v>
      </c>
      <c r="E76" s="5" t="s">
        <v>130</v>
      </c>
      <c r="F76" s="5" t="s">
        <v>16</v>
      </c>
      <c r="G76" s="7">
        <v>45721</v>
      </c>
      <c r="H76" s="7">
        <v>45722</v>
      </c>
      <c r="I76" s="5" t="s">
        <v>81</v>
      </c>
      <c r="J76" s="4" cm="1">
        <f t="array" ref="J7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76" s="5" t="str">
        <f>IF(Table1[[#This Row],[Unit''s Leave Quota]]&lt;=6, "Approved", "Quota Exceeded")</f>
        <v>Approved</v>
      </c>
      <c r="L76" s="5"/>
      <c r="M76" t="s">
        <v>131</v>
      </c>
    </row>
    <row r="77" spans="1:13" hidden="1" x14ac:dyDescent="0.3">
      <c r="A77" s="6">
        <v>45719</v>
      </c>
      <c r="B77" t="s">
        <v>12</v>
      </c>
      <c r="C77" t="s">
        <v>55</v>
      </c>
      <c r="D77" t="s">
        <v>79</v>
      </c>
      <c r="E77" s="5" t="s">
        <v>31</v>
      </c>
      <c r="F77" s="5" t="s">
        <v>16</v>
      </c>
      <c r="G77" s="7">
        <v>45938</v>
      </c>
      <c r="H77" s="7">
        <v>45949</v>
      </c>
      <c r="I77" s="5" t="s">
        <v>81</v>
      </c>
      <c r="J77" s="4" cm="1">
        <f t="array" ref="J7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77" s="5" t="str">
        <f>IF(Table1[[#This Row],[Unit''s Leave Quota]]&lt;=6, "Approved", "Quota Exceeded")</f>
        <v>Approved</v>
      </c>
      <c r="L77" s="5"/>
    </row>
    <row r="78" spans="1:13" hidden="1" x14ac:dyDescent="0.3">
      <c r="A78" s="6">
        <v>45720</v>
      </c>
      <c r="B78" t="s">
        <v>45</v>
      </c>
      <c r="C78" t="s">
        <v>46</v>
      </c>
      <c r="D78" t="s">
        <v>129</v>
      </c>
      <c r="E78" s="5" t="s">
        <v>130</v>
      </c>
      <c r="F78" s="5" t="s">
        <v>16</v>
      </c>
      <c r="G78" s="7">
        <v>45735</v>
      </c>
      <c r="H78" s="7">
        <v>45739</v>
      </c>
      <c r="I78" s="5" t="s">
        <v>81</v>
      </c>
      <c r="J78" s="4" cm="1">
        <f t="array" ref="J7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78" s="5" t="str">
        <f>IF(Table1[[#This Row],[Unit''s Leave Quota]]&lt;=6, "Approved", "Quota Exceeded")</f>
        <v>Approved</v>
      </c>
      <c r="L78" s="5"/>
    </row>
    <row r="79" spans="1:13" hidden="1" x14ac:dyDescent="0.3">
      <c r="A79" s="6">
        <v>45720</v>
      </c>
      <c r="B79" t="s">
        <v>45</v>
      </c>
      <c r="C79" t="s">
        <v>37</v>
      </c>
      <c r="D79" t="s">
        <v>38</v>
      </c>
      <c r="E79" s="5" t="s">
        <v>77</v>
      </c>
      <c r="F79" s="5" t="s">
        <v>16</v>
      </c>
      <c r="G79" s="7">
        <v>45744</v>
      </c>
      <c r="H79" s="7">
        <v>45746</v>
      </c>
      <c r="I79" s="5" t="s">
        <v>32</v>
      </c>
      <c r="J79" s="4" cm="1">
        <f t="array" ref="J7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79" s="5" t="str">
        <f>IF(Table1[[#This Row],[Unit''s Leave Quota]]&lt;=6, "Approved", "Quota Exceeded")</f>
        <v>Approved</v>
      </c>
      <c r="L79" s="5"/>
    </row>
    <row r="80" spans="1:13" s="10" customFormat="1" hidden="1" x14ac:dyDescent="0.3">
      <c r="A80" s="6">
        <v>45720</v>
      </c>
      <c r="B80" t="s">
        <v>12</v>
      </c>
      <c r="C80" t="s">
        <v>50</v>
      </c>
      <c r="D80" t="s">
        <v>132</v>
      </c>
      <c r="E80" s="5" t="s">
        <v>93</v>
      </c>
      <c r="F80" s="5" t="s">
        <v>16</v>
      </c>
      <c r="G80" s="7">
        <v>45856</v>
      </c>
      <c r="H80" s="7">
        <v>45866</v>
      </c>
      <c r="I80" s="5" t="s">
        <v>85</v>
      </c>
      <c r="J80" s="4" cm="1">
        <f t="array" ref="J8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80" s="5" t="str">
        <f>IF(Table1[[#This Row],[Unit''s Leave Quota]]&lt;=6, "Approved", "Quota Exceeded")</f>
        <v>Approved</v>
      </c>
      <c r="L80" s="5"/>
      <c r="M80"/>
    </row>
    <row r="81" spans="1:13" s="10" customFormat="1" hidden="1" x14ac:dyDescent="0.3">
      <c r="A81" s="6">
        <v>45722</v>
      </c>
      <c r="B81" t="s">
        <v>12</v>
      </c>
      <c r="C81" t="s">
        <v>41</v>
      </c>
      <c r="D81" t="s">
        <v>133</v>
      </c>
      <c r="E81" s="5" t="s">
        <v>31</v>
      </c>
      <c r="F81" s="5" t="s">
        <v>16</v>
      </c>
      <c r="G81" s="7">
        <v>45834</v>
      </c>
      <c r="H81" s="7">
        <v>45847</v>
      </c>
      <c r="I81" s="5" t="s">
        <v>85</v>
      </c>
      <c r="J81" s="4" cm="1">
        <f t="array" ref="J8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81" s="5" t="str">
        <f>IF(Table1[[#This Row],[Unit''s Leave Quota]]&lt;=6, "Approved", "Quota Exceeded")</f>
        <v>Approved</v>
      </c>
      <c r="L81" s="5"/>
      <c r="M81"/>
    </row>
    <row r="82" spans="1:13" hidden="1" x14ac:dyDescent="0.3">
      <c r="A82" s="6">
        <v>45722</v>
      </c>
      <c r="B82" t="s">
        <v>12</v>
      </c>
      <c r="C82" t="s">
        <v>41</v>
      </c>
      <c r="D82" t="s">
        <v>133</v>
      </c>
      <c r="E82" s="5" t="s">
        <v>31</v>
      </c>
      <c r="F82" s="5" t="s">
        <v>16</v>
      </c>
      <c r="G82" s="7">
        <v>45931</v>
      </c>
      <c r="H82" s="7">
        <v>45948</v>
      </c>
      <c r="I82" s="5" t="s">
        <v>85</v>
      </c>
      <c r="J82" s="4" cm="1">
        <f t="array" ref="J8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82" s="5" t="str">
        <f>IF(Table1[[#This Row],[Unit''s Leave Quota]]&lt;=6, "Approved", "Quota Exceeded")</f>
        <v>Approved</v>
      </c>
      <c r="L82" s="5"/>
    </row>
    <row r="83" spans="1:13" hidden="1" x14ac:dyDescent="0.3">
      <c r="A83" s="6">
        <v>45724</v>
      </c>
      <c r="B83" t="s">
        <v>45</v>
      </c>
      <c r="C83" t="s">
        <v>22</v>
      </c>
      <c r="D83" t="s">
        <v>134</v>
      </c>
      <c r="E83" s="5" t="s">
        <v>77</v>
      </c>
      <c r="F83" s="5" t="s">
        <v>16</v>
      </c>
      <c r="G83" s="7">
        <v>45726</v>
      </c>
      <c r="H83" s="7">
        <v>45726</v>
      </c>
      <c r="I83" s="5" t="s">
        <v>44</v>
      </c>
      <c r="J83" s="4" cm="1">
        <f t="array" ref="J8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83" s="5" t="str">
        <f>IF(Table1[[#This Row],[Unit''s Leave Quota]]&lt;=6, "Approved", "Quota Exceeded")</f>
        <v>Approved</v>
      </c>
      <c r="L83" s="5"/>
    </row>
    <row r="84" spans="1:13" hidden="1" x14ac:dyDescent="0.3">
      <c r="A84" s="6">
        <v>45724</v>
      </c>
      <c r="B84" t="s">
        <v>45</v>
      </c>
      <c r="C84" t="s">
        <v>41</v>
      </c>
      <c r="D84" t="s">
        <v>42</v>
      </c>
      <c r="E84" s="5" t="s">
        <v>77</v>
      </c>
      <c r="F84" s="5" t="s">
        <v>16</v>
      </c>
      <c r="G84" s="7">
        <v>45728</v>
      </c>
      <c r="H84" s="7">
        <v>45728</v>
      </c>
      <c r="I84" s="5" t="s">
        <v>44</v>
      </c>
      <c r="J84" s="4" cm="1">
        <f t="array" ref="J8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84" s="5" t="str">
        <f>IF(Table1[[#This Row],[Unit''s Leave Quota]]&lt;=6, "Approved", "Quota Exceeded")</f>
        <v>Approved</v>
      </c>
      <c r="L84" s="5"/>
    </row>
    <row r="85" spans="1:13" hidden="1" x14ac:dyDescent="0.3">
      <c r="A85" s="6">
        <v>45724</v>
      </c>
      <c r="B85" t="s">
        <v>45</v>
      </c>
      <c r="C85" t="s">
        <v>22</v>
      </c>
      <c r="D85" t="s">
        <v>103</v>
      </c>
      <c r="E85" s="5" t="s">
        <v>77</v>
      </c>
      <c r="F85" s="5" t="s">
        <v>16</v>
      </c>
      <c r="G85" s="7">
        <v>45728</v>
      </c>
      <c r="H85" s="7">
        <v>45728</v>
      </c>
      <c r="I85" s="5" t="s">
        <v>44</v>
      </c>
      <c r="J85" s="4" cm="1">
        <f t="array" ref="J8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85" s="5" t="str">
        <f>IF(Table1[[#This Row],[Unit''s Leave Quota]]&lt;=6, "Approved", "Quota Exceeded")</f>
        <v>Approved</v>
      </c>
      <c r="L85" s="5"/>
    </row>
    <row r="86" spans="1:13" hidden="1" x14ac:dyDescent="0.3">
      <c r="A86" s="6">
        <v>45727</v>
      </c>
      <c r="B86" t="s">
        <v>45</v>
      </c>
      <c r="C86" t="s">
        <v>50</v>
      </c>
      <c r="D86" t="s">
        <v>132</v>
      </c>
      <c r="E86" s="5" t="s">
        <v>77</v>
      </c>
      <c r="F86" s="5" t="s">
        <v>16</v>
      </c>
      <c r="G86" s="7">
        <v>45733</v>
      </c>
      <c r="H86" s="7">
        <v>45734</v>
      </c>
      <c r="I86" s="5" t="s">
        <v>135</v>
      </c>
      <c r="J86" s="4" cm="1">
        <f t="array" ref="J8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86" s="5" t="str">
        <f>IF(Table1[[#This Row],[Unit''s Leave Quota]]&lt;=6, "Approved", "Quota Exceeded")</f>
        <v>Approved</v>
      </c>
      <c r="L86" s="5"/>
    </row>
    <row r="87" spans="1:13" hidden="1" x14ac:dyDescent="0.3">
      <c r="A87" s="6">
        <v>45728</v>
      </c>
      <c r="B87" t="s">
        <v>45</v>
      </c>
      <c r="C87" t="s">
        <v>55</v>
      </c>
      <c r="D87" t="s">
        <v>84</v>
      </c>
      <c r="E87" s="5" t="s">
        <v>136</v>
      </c>
      <c r="F87" s="5" t="s">
        <v>16</v>
      </c>
      <c r="G87" s="7">
        <v>45733</v>
      </c>
      <c r="H87" s="7">
        <v>45734</v>
      </c>
      <c r="I87" s="5" t="s">
        <v>85</v>
      </c>
      <c r="J87" s="4" cm="1">
        <f t="array" ref="J8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87" s="5" t="str">
        <f>IF(Table1[[#This Row],[Unit''s Leave Quota]]&lt;=6, "Approved", "Quota Exceeded")</f>
        <v>Approved</v>
      </c>
      <c r="L87" s="5"/>
    </row>
    <row r="88" spans="1:13" hidden="1" x14ac:dyDescent="0.3">
      <c r="A88" s="6">
        <v>45728</v>
      </c>
      <c r="B88" t="s">
        <v>45</v>
      </c>
      <c r="C88" t="s">
        <v>137</v>
      </c>
      <c r="D88" t="s">
        <v>138</v>
      </c>
      <c r="E88" s="5" t="s">
        <v>139</v>
      </c>
      <c r="F88" s="5" t="s">
        <v>16</v>
      </c>
      <c r="G88" s="7">
        <v>45734</v>
      </c>
      <c r="H88" s="7">
        <v>45735</v>
      </c>
      <c r="I88" s="5" t="s">
        <v>32</v>
      </c>
      <c r="J88" s="4" cm="1">
        <f t="array" ref="J8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88" s="5" t="str">
        <f>IF(Table1[[#This Row],[Unit''s Leave Quota]]&lt;=6, "Approved", "Quota Exceeded")</f>
        <v>Approved</v>
      </c>
      <c r="L88" s="5"/>
    </row>
    <row r="89" spans="1:13" s="10" customFormat="1" hidden="1" x14ac:dyDescent="0.3">
      <c r="A89" s="6">
        <v>45728</v>
      </c>
      <c r="B89" t="s">
        <v>45</v>
      </c>
      <c r="C89" t="s">
        <v>22</v>
      </c>
      <c r="D89" t="s">
        <v>140</v>
      </c>
      <c r="E89" s="5" t="s">
        <v>75</v>
      </c>
      <c r="F89" s="5" t="s">
        <v>16</v>
      </c>
      <c r="G89" s="7">
        <v>45736</v>
      </c>
      <c r="H89" s="7">
        <v>45741</v>
      </c>
      <c r="I89" s="5" t="s">
        <v>58</v>
      </c>
      <c r="J89" s="4" cm="1">
        <f t="array" ref="J8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89" s="5" t="str">
        <f>IF(Table1[[#This Row],[Unit''s Leave Quota]]&lt;=6, "Approved", "Quota Exceeded")</f>
        <v>Approved</v>
      </c>
      <c r="L89" s="5"/>
      <c r="M89"/>
    </row>
    <row r="90" spans="1:13" hidden="1" x14ac:dyDescent="0.3">
      <c r="A90" s="6">
        <v>45728</v>
      </c>
      <c r="B90" t="s">
        <v>12</v>
      </c>
      <c r="C90" t="s">
        <v>55</v>
      </c>
      <c r="D90" t="s">
        <v>141</v>
      </c>
      <c r="E90" s="5" t="s">
        <v>142</v>
      </c>
      <c r="F90" s="5" t="s">
        <v>16</v>
      </c>
      <c r="G90" s="7">
        <v>45778</v>
      </c>
      <c r="H90" s="7">
        <v>45781</v>
      </c>
      <c r="I90" s="5" t="s">
        <v>58</v>
      </c>
      <c r="J90" s="4" cm="1">
        <f t="array" ref="J9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90" s="5" t="str">
        <f>IF(Table1[[#This Row],[Unit''s Leave Quota]]&lt;=6, "Approved", "Quota Exceeded")</f>
        <v>Approved</v>
      </c>
      <c r="L90" s="5"/>
      <c r="M90" t="s">
        <v>104</v>
      </c>
    </row>
    <row r="91" spans="1:13" hidden="1" x14ac:dyDescent="0.3">
      <c r="A91" s="6">
        <v>45728</v>
      </c>
      <c r="B91" t="s">
        <v>12</v>
      </c>
      <c r="C91" t="s">
        <v>55</v>
      </c>
      <c r="D91" t="s">
        <v>141</v>
      </c>
      <c r="E91" s="5" t="s">
        <v>75</v>
      </c>
      <c r="F91" s="5" t="s">
        <v>16</v>
      </c>
      <c r="G91" s="7">
        <v>45814</v>
      </c>
      <c r="H91" s="7">
        <v>45819</v>
      </c>
      <c r="I91" s="5" t="s">
        <v>58</v>
      </c>
      <c r="J91" s="4" cm="1">
        <f t="array" ref="J9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91" s="5" t="str">
        <f>IF(Table1[[#This Row],[Unit''s Leave Quota]]&lt;=6, "Approved", "Quota Exceeded")</f>
        <v>Approved</v>
      </c>
      <c r="L91" s="5"/>
    </row>
    <row r="92" spans="1:13" hidden="1" x14ac:dyDescent="0.3">
      <c r="A92" s="6">
        <v>45728</v>
      </c>
      <c r="B92" t="s">
        <v>12</v>
      </c>
      <c r="C92" t="s">
        <v>13</v>
      </c>
      <c r="D92" t="s">
        <v>62</v>
      </c>
      <c r="E92" s="5" t="s">
        <v>80</v>
      </c>
      <c r="F92" s="5" t="s">
        <v>16</v>
      </c>
      <c r="G92" s="7">
        <v>45824</v>
      </c>
      <c r="H92" s="7">
        <v>45830</v>
      </c>
      <c r="I92" s="5" t="s">
        <v>58</v>
      </c>
      <c r="J92" s="4" cm="1">
        <f t="array" ref="J9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92" s="5" t="str">
        <f>IF(Table1[[#This Row],[Unit''s Leave Quota]]&lt;=6, "Approved", "Quota Exceeded")</f>
        <v>Approved</v>
      </c>
      <c r="L92" s="5"/>
    </row>
    <row r="93" spans="1:13" hidden="1" x14ac:dyDescent="0.3">
      <c r="A93" s="6">
        <v>45728</v>
      </c>
      <c r="B93" t="s">
        <v>12</v>
      </c>
      <c r="C93" t="s">
        <v>55</v>
      </c>
      <c r="D93" t="s">
        <v>56</v>
      </c>
      <c r="E93" s="5" t="s">
        <v>143</v>
      </c>
      <c r="F93" s="5" t="s">
        <v>16</v>
      </c>
      <c r="G93" s="7">
        <v>45826</v>
      </c>
      <c r="H93" s="7">
        <v>45833</v>
      </c>
      <c r="I93" s="5" t="s">
        <v>58</v>
      </c>
      <c r="J93" s="4" cm="1">
        <f t="array" ref="J9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93" s="5" t="str">
        <f>IF(Table1[[#This Row],[Unit''s Leave Quota]]&lt;=6, "Approved", "Quota Exceeded")</f>
        <v>Approved</v>
      </c>
      <c r="L93" s="5"/>
    </row>
    <row r="94" spans="1:13" hidden="1" x14ac:dyDescent="0.3">
      <c r="A94" s="6">
        <v>45728</v>
      </c>
      <c r="B94" t="s">
        <v>12</v>
      </c>
      <c r="C94" t="s">
        <v>50</v>
      </c>
      <c r="D94" t="s">
        <v>59</v>
      </c>
      <c r="E94" s="5" t="s">
        <v>144</v>
      </c>
      <c r="F94" s="5" t="s">
        <v>16</v>
      </c>
      <c r="G94" s="7">
        <v>46012</v>
      </c>
      <c r="H94" s="7">
        <v>46020</v>
      </c>
      <c r="I94" s="5" t="s">
        <v>58</v>
      </c>
      <c r="J94" s="4" cm="1">
        <f t="array" ref="J9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7</v>
      </c>
      <c r="K94" s="5" t="str">
        <f>IF(Table1[[#This Row],[Unit''s Leave Quota]]&lt;=6, "Approved", "Quota Exceeded")</f>
        <v>Quota Exceeded</v>
      </c>
      <c r="L94" s="5"/>
      <c r="M94" t="s">
        <v>145</v>
      </c>
    </row>
    <row r="95" spans="1:13" hidden="1" x14ac:dyDescent="0.3">
      <c r="A95" s="6">
        <v>45730</v>
      </c>
      <c r="B95" t="s">
        <v>45</v>
      </c>
      <c r="C95" t="s">
        <v>55</v>
      </c>
      <c r="D95" t="s">
        <v>79</v>
      </c>
      <c r="E95" s="5" t="s">
        <v>117</v>
      </c>
      <c r="F95" s="5" t="s">
        <v>16</v>
      </c>
      <c r="G95" s="7">
        <v>45799</v>
      </c>
      <c r="H95" s="7">
        <v>45803</v>
      </c>
      <c r="I95" s="5" t="s">
        <v>49</v>
      </c>
      <c r="J95" s="4" cm="1">
        <f t="array" ref="J9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95" s="5" t="str">
        <f>IF(Table1[[#This Row],[Unit''s Leave Quota]]&lt;=6, "Approved", "Quota Exceeded")</f>
        <v>Approved</v>
      </c>
      <c r="L95" s="5"/>
      <c r="M95" t="s">
        <v>146</v>
      </c>
    </row>
    <row r="96" spans="1:13" hidden="1" x14ac:dyDescent="0.3">
      <c r="A96" s="6">
        <v>45731</v>
      </c>
      <c r="B96" t="s">
        <v>12</v>
      </c>
      <c r="C96" t="s">
        <v>18</v>
      </c>
      <c r="D96" t="s">
        <v>101</v>
      </c>
      <c r="E96" s="5" t="s">
        <v>77</v>
      </c>
      <c r="F96" s="5" t="s">
        <v>16</v>
      </c>
      <c r="G96" s="7">
        <v>45733</v>
      </c>
      <c r="H96" s="7">
        <v>45733</v>
      </c>
      <c r="I96" s="5" t="s">
        <v>81</v>
      </c>
      <c r="J96" s="4" cm="1">
        <f t="array" ref="J9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96" s="5" t="str">
        <f>IF(Table1[[#This Row],[Unit''s Leave Quota]]&lt;=6, "Approved", "Quota Exceeded")</f>
        <v>Approved</v>
      </c>
      <c r="L96" s="5"/>
    </row>
    <row r="97" spans="1:13" hidden="1" x14ac:dyDescent="0.3">
      <c r="A97" s="6">
        <v>45731</v>
      </c>
      <c r="B97" t="s">
        <v>12</v>
      </c>
      <c r="C97" t="s">
        <v>18</v>
      </c>
      <c r="D97" t="s">
        <v>101</v>
      </c>
      <c r="E97" s="5" t="s">
        <v>77</v>
      </c>
      <c r="F97" s="5" t="s">
        <v>16</v>
      </c>
      <c r="G97" s="7">
        <v>45736</v>
      </c>
      <c r="H97" s="7">
        <v>45736</v>
      </c>
      <c r="I97" s="5" t="s">
        <v>81</v>
      </c>
      <c r="J97" s="4" cm="1">
        <f t="array" ref="J9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97" s="5" t="str">
        <f>IF(Table1[[#This Row],[Unit''s Leave Quota]]&lt;=6, "Approved", "Quota Exceeded")</f>
        <v>Approved</v>
      </c>
      <c r="L97" s="5"/>
    </row>
    <row r="98" spans="1:13" hidden="1" x14ac:dyDescent="0.3">
      <c r="A98" s="6">
        <v>45731</v>
      </c>
      <c r="B98" t="s">
        <v>45</v>
      </c>
      <c r="C98" t="s">
        <v>46</v>
      </c>
      <c r="D98" t="s">
        <v>47</v>
      </c>
      <c r="E98" s="5" t="s">
        <v>77</v>
      </c>
      <c r="F98" s="5" t="s">
        <v>16</v>
      </c>
      <c r="G98" s="7">
        <v>45739</v>
      </c>
      <c r="H98" s="7">
        <v>45739</v>
      </c>
      <c r="I98" s="5" t="s">
        <v>49</v>
      </c>
      <c r="J98" s="4" cm="1">
        <f t="array" ref="J9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98" s="5" t="str">
        <f>IF(Table1[[#This Row],[Unit''s Leave Quota]]&lt;=6, "Approved", "Quota Exceeded")</f>
        <v>Approved</v>
      </c>
      <c r="L98" s="5"/>
    </row>
    <row r="99" spans="1:13" hidden="1" x14ac:dyDescent="0.3">
      <c r="A99" s="6">
        <v>45735</v>
      </c>
      <c r="B99" t="s">
        <v>45</v>
      </c>
      <c r="C99" t="s">
        <v>55</v>
      </c>
      <c r="D99" t="s">
        <v>84</v>
      </c>
      <c r="E99" s="5" t="s">
        <v>77</v>
      </c>
      <c r="F99" s="5" t="s">
        <v>16</v>
      </c>
      <c r="G99" s="7">
        <v>45737</v>
      </c>
      <c r="H99" s="7">
        <v>45738</v>
      </c>
      <c r="I99" s="5" t="s">
        <v>85</v>
      </c>
      <c r="J99" s="4" cm="1">
        <f t="array" ref="J9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99" s="5" t="str">
        <f>IF(Table1[[#This Row],[Unit''s Leave Quota]]&lt;=6, "Approved", "Quota Exceeded")</f>
        <v>Approved</v>
      </c>
      <c r="L99" s="5"/>
    </row>
    <row r="100" spans="1:13" hidden="1" x14ac:dyDescent="0.3">
      <c r="A100" s="6">
        <v>45736</v>
      </c>
      <c r="B100" t="s">
        <v>45</v>
      </c>
      <c r="C100" t="s">
        <v>41</v>
      </c>
      <c r="D100" t="s">
        <v>42</v>
      </c>
      <c r="E100" s="5" t="s">
        <v>77</v>
      </c>
      <c r="F100" s="5" t="s">
        <v>16</v>
      </c>
      <c r="G100" s="7">
        <v>45738</v>
      </c>
      <c r="H100" s="7">
        <v>45738</v>
      </c>
      <c r="I100" s="5" t="s">
        <v>44</v>
      </c>
      <c r="J100" s="4" cm="1">
        <f t="array" ref="J10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100" s="5" t="str">
        <f>IF(Table1[[#This Row],[Unit''s Leave Quota]]&lt;=6, "Approved", "Quota Exceeded")</f>
        <v>Approved</v>
      </c>
      <c r="L100" s="5"/>
    </row>
    <row r="101" spans="1:13" hidden="1" x14ac:dyDescent="0.3">
      <c r="A101" s="6">
        <v>45736</v>
      </c>
      <c r="B101" t="s">
        <v>12</v>
      </c>
      <c r="C101" t="s">
        <v>22</v>
      </c>
      <c r="D101" t="s">
        <v>103</v>
      </c>
      <c r="E101" s="5" t="s">
        <v>63</v>
      </c>
      <c r="F101" s="5" t="s">
        <v>16</v>
      </c>
      <c r="G101" s="7">
        <v>45988</v>
      </c>
      <c r="H101" s="7">
        <v>46002</v>
      </c>
      <c r="I101" s="5" t="s">
        <v>94</v>
      </c>
      <c r="J101" s="4" cm="1">
        <f t="array" ref="J10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01" s="5" t="str">
        <f>IF(Table1[[#This Row],[Unit''s Leave Quota]]&lt;=6, "Approved", "Quota Exceeded")</f>
        <v>Approved</v>
      </c>
      <c r="L101" s="5"/>
    </row>
    <row r="102" spans="1:13" hidden="1" x14ac:dyDescent="0.3">
      <c r="A102" s="6">
        <v>45737</v>
      </c>
      <c r="B102" t="s">
        <v>45</v>
      </c>
      <c r="C102" t="s">
        <v>55</v>
      </c>
      <c r="D102" t="s">
        <v>147</v>
      </c>
      <c r="E102" s="5" t="s">
        <v>77</v>
      </c>
      <c r="F102" s="5" t="s">
        <v>16</v>
      </c>
      <c r="G102" s="7">
        <v>45743</v>
      </c>
      <c r="H102" s="7">
        <v>45743</v>
      </c>
      <c r="I102" s="5" t="s">
        <v>148</v>
      </c>
      <c r="J102" s="4" cm="1">
        <f t="array" ref="J10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1</v>
      </c>
      <c r="K102" s="5" t="str">
        <f>IF(Table1[[#This Row],[Unit''s Leave Quota]]&lt;=6, "Approved", "Quota Exceeded")</f>
        <v>Approved</v>
      </c>
      <c r="L102" s="5"/>
      <c r="M102" t="s">
        <v>113</v>
      </c>
    </row>
    <row r="103" spans="1:13" hidden="1" x14ac:dyDescent="0.3">
      <c r="A103" s="6">
        <v>45743</v>
      </c>
      <c r="B103" t="s">
        <v>12</v>
      </c>
      <c r="C103" t="s">
        <v>55</v>
      </c>
      <c r="D103" t="s">
        <v>149</v>
      </c>
      <c r="E103" s="5" t="s">
        <v>150</v>
      </c>
      <c r="F103" s="5" t="s">
        <v>16</v>
      </c>
      <c r="G103" s="7">
        <v>45745</v>
      </c>
      <c r="H103" s="7">
        <v>45750</v>
      </c>
      <c r="I103" s="5" t="s">
        <v>151</v>
      </c>
      <c r="J103" s="4" cm="1">
        <f t="array" ref="J10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103" s="5" t="str">
        <f>IF(Table1[[#This Row],[Unit''s Leave Quota]]&lt;=6, "Approved", "Quota Exceeded")</f>
        <v>Approved</v>
      </c>
      <c r="L103" s="5"/>
      <c r="M103" t="s">
        <v>152</v>
      </c>
    </row>
    <row r="104" spans="1:13" hidden="1" x14ac:dyDescent="0.3">
      <c r="A104" s="6">
        <v>45743</v>
      </c>
      <c r="B104" t="s">
        <v>12</v>
      </c>
      <c r="C104" t="s">
        <v>55</v>
      </c>
      <c r="D104" t="s">
        <v>141</v>
      </c>
      <c r="E104" s="5" t="s">
        <v>143</v>
      </c>
      <c r="F104" s="5" t="s">
        <v>16</v>
      </c>
      <c r="G104" s="7">
        <v>45758</v>
      </c>
      <c r="H104" s="7">
        <v>45760</v>
      </c>
      <c r="I104" s="5" t="s">
        <v>151</v>
      </c>
      <c r="J104" s="4" cm="1">
        <f t="array" ref="J10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104" s="5" t="str">
        <f>IF(Table1[[#This Row],[Unit''s Leave Quota]]&lt;=6, "Approved", "Quota Exceeded")</f>
        <v>Approved</v>
      </c>
      <c r="L104" s="5"/>
      <c r="M104" t="s">
        <v>152</v>
      </c>
    </row>
    <row r="105" spans="1:13" hidden="1" x14ac:dyDescent="0.3">
      <c r="A105" s="6">
        <v>45749</v>
      </c>
      <c r="B105" t="s">
        <v>12</v>
      </c>
      <c r="C105" t="s">
        <v>13</v>
      </c>
      <c r="D105" t="s">
        <v>84</v>
      </c>
      <c r="E105" s="5" t="s">
        <v>80</v>
      </c>
      <c r="F105" s="5" t="s">
        <v>16</v>
      </c>
      <c r="G105" s="7">
        <v>45756</v>
      </c>
      <c r="H105" s="7">
        <v>45757</v>
      </c>
      <c r="I105" s="5" t="s">
        <v>108</v>
      </c>
      <c r="J105" s="4" cm="1">
        <f t="array" ref="J10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1</v>
      </c>
      <c r="K105" s="5" t="str">
        <f>IF(Table1[[#This Row],[Unit''s Leave Quota]]&lt;=6, "Approved", "Quota Exceeded")</f>
        <v>Approved</v>
      </c>
      <c r="L105" s="5"/>
      <c r="M105" t="s">
        <v>152</v>
      </c>
    </row>
    <row r="106" spans="1:13" hidden="1" x14ac:dyDescent="0.3">
      <c r="A106" s="6">
        <v>45749</v>
      </c>
      <c r="B106" t="s">
        <v>12</v>
      </c>
      <c r="C106" t="s">
        <v>13</v>
      </c>
      <c r="D106" t="s">
        <v>84</v>
      </c>
      <c r="E106" s="5" t="s">
        <v>80</v>
      </c>
      <c r="F106" s="5" t="s">
        <v>16</v>
      </c>
      <c r="G106" s="7">
        <v>45760</v>
      </c>
      <c r="H106" s="7">
        <v>45761</v>
      </c>
      <c r="I106" s="5" t="s">
        <v>108</v>
      </c>
      <c r="J106" s="4" cm="1">
        <f t="array" ref="J10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106" s="5" t="str">
        <f>IF(Table1[[#This Row],[Unit''s Leave Quota]]&lt;=6, "Approved", "Quota Exceeded")</f>
        <v>Approved</v>
      </c>
      <c r="L106" s="5"/>
      <c r="M106" t="s">
        <v>152</v>
      </c>
    </row>
    <row r="107" spans="1:13" hidden="1" x14ac:dyDescent="0.3">
      <c r="A107" s="6">
        <v>45749</v>
      </c>
      <c r="B107" t="s">
        <v>12</v>
      </c>
      <c r="C107" t="s">
        <v>13</v>
      </c>
      <c r="D107" t="s">
        <v>84</v>
      </c>
      <c r="E107" s="5" t="s">
        <v>80</v>
      </c>
      <c r="F107" s="5" t="s">
        <v>16</v>
      </c>
      <c r="G107" s="7">
        <v>45789</v>
      </c>
      <c r="H107" s="7">
        <v>45816</v>
      </c>
      <c r="I107" s="5" t="s">
        <v>108</v>
      </c>
      <c r="J107" s="4" cm="1">
        <f t="array" ref="J10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07" s="5" t="str">
        <f>IF(Table1[[#This Row],[Unit''s Leave Quota]]&lt;=6, "Approved", "Quota Exceeded")</f>
        <v>Approved</v>
      </c>
      <c r="L107" s="5"/>
      <c r="M107" t="s">
        <v>153</v>
      </c>
    </row>
    <row r="108" spans="1:13" hidden="1" x14ac:dyDescent="0.3">
      <c r="A108" s="6">
        <v>45749</v>
      </c>
      <c r="B108" t="s">
        <v>12</v>
      </c>
      <c r="C108" t="s">
        <v>13</v>
      </c>
      <c r="D108" t="s">
        <v>84</v>
      </c>
      <c r="E108" s="5" t="s">
        <v>80</v>
      </c>
      <c r="F108" s="5" t="s">
        <v>16</v>
      </c>
      <c r="G108" s="7">
        <v>45826</v>
      </c>
      <c r="H108" s="7">
        <v>45831</v>
      </c>
      <c r="I108" s="5" t="s">
        <v>108</v>
      </c>
      <c r="J108" s="4" cm="1">
        <f t="array" ref="J10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08" s="5" t="str">
        <f>IF(Table1[[#This Row],[Unit''s Leave Quota]]&lt;=6, "Approved", "Quota Exceeded")</f>
        <v>Approved</v>
      </c>
      <c r="L108" s="5"/>
      <c r="M108" t="s">
        <v>152</v>
      </c>
    </row>
    <row r="109" spans="1:13" hidden="1" x14ac:dyDescent="0.3">
      <c r="A109" s="6">
        <v>45750</v>
      </c>
      <c r="B109" t="s">
        <v>12</v>
      </c>
      <c r="C109" t="s">
        <v>22</v>
      </c>
      <c r="D109" t="s">
        <v>73</v>
      </c>
      <c r="E109" s="5" t="s">
        <v>15</v>
      </c>
      <c r="F109" s="5" t="s">
        <v>16</v>
      </c>
      <c r="G109" s="7">
        <v>45764</v>
      </c>
      <c r="H109" s="7">
        <v>45767</v>
      </c>
      <c r="I109" s="5" t="s">
        <v>154</v>
      </c>
      <c r="J109" s="4" cm="1">
        <f t="array" ref="J10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1</v>
      </c>
      <c r="K109" s="5" t="str">
        <f>IF(Table1[[#This Row],[Unit''s Leave Quota]]&lt;=6, "Approved", "Quota Exceeded")</f>
        <v>Approved</v>
      </c>
      <c r="L109" s="5"/>
      <c r="M109" t="s">
        <v>155</v>
      </c>
    </row>
    <row r="110" spans="1:13" hidden="1" x14ac:dyDescent="0.3">
      <c r="A110" s="6">
        <v>45750</v>
      </c>
      <c r="B110" t="s">
        <v>12</v>
      </c>
      <c r="C110" t="s">
        <v>55</v>
      </c>
      <c r="D110" t="s">
        <v>156</v>
      </c>
      <c r="E110" s="5" t="s">
        <v>157</v>
      </c>
      <c r="F110" s="5" t="s">
        <v>16</v>
      </c>
      <c r="G110" s="7">
        <v>45841</v>
      </c>
      <c r="H110" s="7">
        <v>45845</v>
      </c>
      <c r="I110" s="5" t="s">
        <v>158</v>
      </c>
      <c r="J110" s="4" cm="1">
        <f t="array" ref="J11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110" s="5" t="str">
        <f>IF(Table1[[#This Row],[Unit''s Leave Quota]]&lt;=6, "Approved", "Quota Exceeded")</f>
        <v>Approved</v>
      </c>
      <c r="L110" s="5"/>
      <c r="M110" t="s">
        <v>159</v>
      </c>
    </row>
    <row r="111" spans="1:13" hidden="1" x14ac:dyDescent="0.3">
      <c r="A111" s="9">
        <v>45756</v>
      </c>
      <c r="B111" s="10" t="s">
        <v>12</v>
      </c>
      <c r="C111" s="10" t="s">
        <v>22</v>
      </c>
      <c r="D111" s="10" t="s">
        <v>23</v>
      </c>
      <c r="E111" s="11" t="s">
        <v>144</v>
      </c>
      <c r="F111" s="11" t="s">
        <v>16</v>
      </c>
      <c r="G111" s="12">
        <v>45778</v>
      </c>
      <c r="H111" s="12">
        <v>45789</v>
      </c>
      <c r="I111" s="11" t="s">
        <v>160</v>
      </c>
      <c r="J111" s="13" cm="1">
        <f t="array" ref="J11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11" s="11" t="str">
        <f>IF(Table1[[#This Row],[Unit''s Leave Quota]]&lt;=6, "Approved", "Quota Exceeded")</f>
        <v>Approved</v>
      </c>
      <c r="L111" s="11"/>
      <c r="M111" s="10" t="s">
        <v>104</v>
      </c>
    </row>
    <row r="112" spans="1:13" hidden="1" x14ac:dyDescent="0.3">
      <c r="A112" s="6">
        <v>45756</v>
      </c>
      <c r="B112" t="s">
        <v>12</v>
      </c>
      <c r="C112" t="s">
        <v>161</v>
      </c>
      <c r="D112" t="s">
        <v>147</v>
      </c>
      <c r="E112" s="5" t="s">
        <v>162</v>
      </c>
      <c r="F112" s="5" t="s">
        <v>16</v>
      </c>
      <c r="G112" s="7">
        <v>45815</v>
      </c>
      <c r="H112" s="7">
        <v>45817</v>
      </c>
      <c r="I112" s="5" t="s">
        <v>160</v>
      </c>
      <c r="J112" s="4" cm="1">
        <f t="array" ref="J11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12" s="5" t="str">
        <f>IF(Table1[[#This Row],[Unit''s Leave Quota]]&lt;=6, "Approved", "Quota Exceeded")</f>
        <v>Approved</v>
      </c>
      <c r="L112" s="5"/>
      <c r="M112" t="s">
        <v>159</v>
      </c>
    </row>
    <row r="113" spans="1:13" hidden="1" x14ac:dyDescent="0.3">
      <c r="A113" s="6">
        <v>45756</v>
      </c>
      <c r="B113" t="s">
        <v>12</v>
      </c>
      <c r="C113" t="s">
        <v>22</v>
      </c>
      <c r="D113" t="s">
        <v>23</v>
      </c>
      <c r="E113" s="5" t="s">
        <v>163</v>
      </c>
      <c r="F113" s="5" t="s">
        <v>16</v>
      </c>
      <c r="G113" s="7">
        <v>45817</v>
      </c>
      <c r="H113" s="7">
        <v>45823</v>
      </c>
      <c r="I113" s="5" t="s">
        <v>160</v>
      </c>
      <c r="J113" s="4" cm="1">
        <f t="array" ref="J11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113" s="5" t="str">
        <f>IF(Table1[[#This Row],[Unit''s Leave Quota]]&lt;=6, "Approved", "Quota Exceeded")</f>
        <v>Approved</v>
      </c>
      <c r="L113" s="5"/>
      <c r="M113" t="s">
        <v>159</v>
      </c>
    </row>
    <row r="114" spans="1:13" hidden="1" x14ac:dyDescent="0.3">
      <c r="A114" s="6">
        <v>45760</v>
      </c>
      <c r="B114" t="s">
        <v>12</v>
      </c>
      <c r="C114" t="s">
        <v>22</v>
      </c>
      <c r="D114" t="s">
        <v>140</v>
      </c>
      <c r="E114" s="5" t="s">
        <v>164</v>
      </c>
      <c r="F114" s="5" t="s">
        <v>16</v>
      </c>
      <c r="G114" s="7">
        <v>45848</v>
      </c>
      <c r="H114" s="7">
        <v>45852</v>
      </c>
      <c r="I114" s="5" t="s">
        <v>165</v>
      </c>
      <c r="J114" s="4" cm="1">
        <f t="array" ref="J11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14" s="5" t="str">
        <f>IF(Table1[[#This Row],[Unit''s Leave Quota]]&lt;=6, "Approved", "Quota Exceeded")</f>
        <v>Approved</v>
      </c>
      <c r="L114" s="5"/>
      <c r="M114" t="s">
        <v>152</v>
      </c>
    </row>
    <row r="115" spans="1:13" hidden="1" x14ac:dyDescent="0.3">
      <c r="A115" s="6">
        <v>45760</v>
      </c>
      <c r="B115" t="s">
        <v>12</v>
      </c>
      <c r="C115" t="s">
        <v>13</v>
      </c>
      <c r="D115" t="s">
        <v>166</v>
      </c>
      <c r="E115" s="5" t="s">
        <v>167</v>
      </c>
      <c r="F115" s="5" t="s">
        <v>16</v>
      </c>
      <c r="G115" s="7">
        <v>45956</v>
      </c>
      <c r="H115" s="7">
        <v>45963</v>
      </c>
      <c r="I115" s="5" t="s">
        <v>49</v>
      </c>
      <c r="J115" s="4" cm="1">
        <f t="array" ref="J11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15" s="5" t="str">
        <f>IF(Table1[[#This Row],[Unit''s Leave Quota]]&lt;=6, "Approved", "Quota Exceeded")</f>
        <v>Approved</v>
      </c>
      <c r="L115" s="5"/>
      <c r="M115" t="s">
        <v>168</v>
      </c>
    </row>
    <row r="116" spans="1:13" hidden="1" x14ac:dyDescent="0.3">
      <c r="A116" s="6">
        <v>45762</v>
      </c>
      <c r="B116" t="s">
        <v>12</v>
      </c>
      <c r="C116" t="s">
        <v>161</v>
      </c>
      <c r="D116" t="s">
        <v>91</v>
      </c>
      <c r="E116" s="5" t="s">
        <v>80</v>
      </c>
      <c r="F116" s="5" t="s">
        <v>16</v>
      </c>
      <c r="G116" s="7">
        <v>45828</v>
      </c>
      <c r="H116" s="7">
        <v>45830</v>
      </c>
      <c r="I116" s="5" t="s">
        <v>44</v>
      </c>
      <c r="J116" s="4" cm="1">
        <f t="array" ref="J11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16" s="5" t="str">
        <f>IF(Table1[[#This Row],[Unit''s Leave Quota]]&lt;=6, "Approved", "Quota Exceeded")</f>
        <v>Approved</v>
      </c>
      <c r="L116" s="5"/>
      <c r="M116" t="s">
        <v>155</v>
      </c>
    </row>
    <row r="117" spans="1:13" hidden="1" x14ac:dyDescent="0.3">
      <c r="A117" s="6">
        <v>45768</v>
      </c>
      <c r="B117" t="s">
        <v>12</v>
      </c>
      <c r="C117" t="s">
        <v>13</v>
      </c>
      <c r="D117" t="s">
        <v>169</v>
      </c>
      <c r="E117" s="5" t="s">
        <v>77</v>
      </c>
      <c r="F117" s="5" t="s">
        <v>16</v>
      </c>
      <c r="G117" s="7">
        <v>45786</v>
      </c>
      <c r="H117" s="7">
        <v>45789</v>
      </c>
      <c r="I117" s="5" t="s">
        <v>170</v>
      </c>
      <c r="J117" s="4" cm="1">
        <f t="array" ref="J11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17" s="5" t="str">
        <f>IF(Table1[[#This Row],[Unit''s Leave Quota]]&lt;=6, "Approved", "Quota Exceeded")</f>
        <v>Approved</v>
      </c>
      <c r="L117" s="5"/>
      <c r="M117" t="s">
        <v>152</v>
      </c>
    </row>
    <row r="118" spans="1:13" hidden="1" x14ac:dyDescent="0.3">
      <c r="A118" s="6">
        <v>45775</v>
      </c>
      <c r="B118" t="s">
        <v>12</v>
      </c>
      <c r="C118" t="s">
        <v>161</v>
      </c>
      <c r="D118" t="s">
        <v>79</v>
      </c>
      <c r="E118" s="5" t="s">
        <v>171</v>
      </c>
      <c r="F118" s="5" t="s">
        <v>16</v>
      </c>
      <c r="G118" s="7">
        <v>45790</v>
      </c>
      <c r="H118" s="7">
        <v>45791</v>
      </c>
      <c r="I118" s="5" t="s">
        <v>81</v>
      </c>
      <c r="J118" s="4" cm="1">
        <f t="array" ref="J11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18" s="5" t="str">
        <f>IF(Table1[[#This Row],[Unit''s Leave Quota]]&lt;=6, "Approved", "Quota Exceeded")</f>
        <v>Approved</v>
      </c>
      <c r="L118" s="5"/>
      <c r="M118" t="s">
        <v>172</v>
      </c>
    </row>
    <row r="119" spans="1:13" hidden="1" x14ac:dyDescent="0.3">
      <c r="A119" s="6">
        <v>45776</v>
      </c>
      <c r="B119" t="s">
        <v>12</v>
      </c>
      <c r="C119" t="s">
        <v>173</v>
      </c>
      <c r="D119" t="s">
        <v>174</v>
      </c>
      <c r="E119" s="5" t="s">
        <v>80</v>
      </c>
      <c r="F119" s="5" t="s">
        <v>16</v>
      </c>
      <c r="G119" s="7">
        <v>45782</v>
      </c>
      <c r="H119" s="7">
        <v>45782</v>
      </c>
      <c r="I119" s="5" t="s">
        <v>108</v>
      </c>
      <c r="J119" s="4" cm="1">
        <f t="array" ref="J11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119" s="5" t="str">
        <f>IF(Table1[[#This Row],[Unit''s Leave Quota]]&lt;=6, "Approved", "Quota Exceeded")</f>
        <v>Approved</v>
      </c>
      <c r="L119" s="5"/>
      <c r="M119" t="s">
        <v>152</v>
      </c>
    </row>
    <row r="120" spans="1:13" hidden="1" x14ac:dyDescent="0.3">
      <c r="A120" s="6">
        <v>45776</v>
      </c>
      <c r="B120" t="s">
        <v>12</v>
      </c>
      <c r="C120" t="s">
        <v>13</v>
      </c>
      <c r="D120" t="s">
        <v>166</v>
      </c>
      <c r="E120" s="5" t="s">
        <v>80</v>
      </c>
      <c r="F120" s="5" t="s">
        <v>16</v>
      </c>
      <c r="G120" s="7">
        <v>45835</v>
      </c>
      <c r="H120" s="7">
        <v>45837</v>
      </c>
      <c r="I120" s="5" t="s">
        <v>81</v>
      </c>
      <c r="J120" s="4" cm="1">
        <f t="array" ref="J12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20" s="5" t="str">
        <f>IF(Table1[[#This Row],[Unit''s Leave Quota]]&lt;=6, "Approved", "Quota Exceeded")</f>
        <v>Approved</v>
      </c>
      <c r="L120" s="5"/>
      <c r="M120" t="s">
        <v>172</v>
      </c>
    </row>
    <row r="121" spans="1:13" hidden="1" x14ac:dyDescent="0.3">
      <c r="A121" s="6">
        <v>45782</v>
      </c>
      <c r="B121" t="s">
        <v>12</v>
      </c>
      <c r="C121" t="s">
        <v>55</v>
      </c>
      <c r="D121" t="s">
        <v>149</v>
      </c>
      <c r="E121" s="5" t="s">
        <v>150</v>
      </c>
      <c r="F121" s="5" t="s">
        <v>16</v>
      </c>
      <c r="G121" s="7">
        <v>45783</v>
      </c>
      <c r="H121" s="7">
        <v>45783</v>
      </c>
      <c r="I121" s="5" t="s">
        <v>158</v>
      </c>
      <c r="J121" s="4" cm="1">
        <f t="array" ref="J12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121" s="5" t="str">
        <f>IF(Table1[[#This Row],[Unit''s Leave Quota]]&lt;=6, "Approved", "Quota Exceeded")</f>
        <v>Approved</v>
      </c>
      <c r="L121" s="5"/>
      <c r="M121" t="s">
        <v>152</v>
      </c>
    </row>
    <row r="122" spans="1:13" hidden="1" x14ac:dyDescent="0.3">
      <c r="A122" s="6">
        <v>45782</v>
      </c>
      <c r="B122" t="s">
        <v>12</v>
      </c>
      <c r="C122" t="s">
        <v>55</v>
      </c>
      <c r="D122" t="s">
        <v>149</v>
      </c>
      <c r="E122" s="5" t="s">
        <v>150</v>
      </c>
      <c r="F122" s="5" t="s">
        <v>16</v>
      </c>
      <c r="G122" s="7">
        <v>45788</v>
      </c>
      <c r="H122" s="7">
        <v>45788</v>
      </c>
      <c r="I122" s="5" t="s">
        <v>158</v>
      </c>
      <c r="J122" s="4" cm="1">
        <f t="array" ref="J12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22" s="5" t="str">
        <f>IF(Table1[[#This Row],[Unit''s Leave Quota]]&lt;=6, "Approved", "Quota Exceeded")</f>
        <v>Approved</v>
      </c>
      <c r="L122" s="5"/>
      <c r="M122" t="s">
        <v>152</v>
      </c>
    </row>
    <row r="123" spans="1:13" hidden="1" x14ac:dyDescent="0.3">
      <c r="A123" s="6">
        <v>45782</v>
      </c>
      <c r="B123" t="s">
        <v>12</v>
      </c>
      <c r="C123" t="s">
        <v>55</v>
      </c>
      <c r="D123" t="s">
        <v>149</v>
      </c>
      <c r="E123" s="5" t="s">
        <v>150</v>
      </c>
      <c r="F123" s="5" t="s">
        <v>16</v>
      </c>
      <c r="G123" s="7">
        <v>45795</v>
      </c>
      <c r="H123" s="7">
        <v>45795</v>
      </c>
      <c r="I123" s="5" t="s">
        <v>158</v>
      </c>
      <c r="J123" s="4" cm="1">
        <f t="array" ref="J12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23" s="5" t="str">
        <f>IF(Table1[[#This Row],[Unit''s Leave Quota]]&lt;=6, "Approved", "Quota Exceeded")</f>
        <v>Approved</v>
      </c>
      <c r="L123" s="5"/>
      <c r="M123" t="s">
        <v>152</v>
      </c>
    </row>
    <row r="124" spans="1:13" hidden="1" x14ac:dyDescent="0.3">
      <c r="A124" s="6">
        <v>45782</v>
      </c>
      <c r="B124" t="s">
        <v>12</v>
      </c>
      <c r="C124" t="s">
        <v>55</v>
      </c>
      <c r="D124" t="s">
        <v>149</v>
      </c>
      <c r="E124" s="5" t="s">
        <v>150</v>
      </c>
      <c r="F124" s="5" t="s">
        <v>16</v>
      </c>
      <c r="G124" s="7">
        <v>45801</v>
      </c>
      <c r="H124" s="7">
        <v>45801</v>
      </c>
      <c r="I124" s="5" t="s">
        <v>158</v>
      </c>
      <c r="J124" s="4" cm="1">
        <f t="array" ref="J12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24" s="5" t="str">
        <f>IF(Table1[[#This Row],[Unit''s Leave Quota]]&lt;=6, "Approved", "Quota Exceeded")</f>
        <v>Approved</v>
      </c>
      <c r="L124" s="5"/>
      <c r="M124" t="s">
        <v>152</v>
      </c>
    </row>
    <row r="125" spans="1:13" hidden="1" x14ac:dyDescent="0.3">
      <c r="A125" s="6">
        <v>45782</v>
      </c>
      <c r="B125" t="s">
        <v>12</v>
      </c>
      <c r="C125" t="s">
        <v>55</v>
      </c>
      <c r="D125" t="s">
        <v>149</v>
      </c>
      <c r="E125" s="5" t="s">
        <v>150</v>
      </c>
      <c r="F125" s="5" t="s">
        <v>16</v>
      </c>
      <c r="G125" s="7">
        <v>45805</v>
      </c>
      <c r="H125" s="7">
        <v>45805</v>
      </c>
      <c r="I125" s="5" t="s">
        <v>158</v>
      </c>
      <c r="J125" s="4" cm="1">
        <f t="array" ref="J12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125" s="5" t="str">
        <f>IF(Table1[[#This Row],[Unit''s Leave Quota]]&lt;=6, "Approved", "Quota Exceeded")</f>
        <v>Approved</v>
      </c>
      <c r="L125" s="5"/>
      <c r="M125" t="s">
        <v>152</v>
      </c>
    </row>
    <row r="126" spans="1:13" hidden="1" x14ac:dyDescent="0.3">
      <c r="A126" s="6">
        <v>45782</v>
      </c>
      <c r="B126" t="s">
        <v>12</v>
      </c>
      <c r="C126" t="s">
        <v>41</v>
      </c>
      <c r="D126" t="s">
        <v>42</v>
      </c>
      <c r="E126" s="5" t="s">
        <v>77</v>
      </c>
      <c r="F126" s="5" t="s">
        <v>16</v>
      </c>
      <c r="G126" s="7">
        <v>45815</v>
      </c>
      <c r="H126" s="7">
        <v>45816</v>
      </c>
      <c r="I126" s="5" t="s">
        <v>44</v>
      </c>
      <c r="J126" s="4" cm="1">
        <f t="array" ref="J12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26" s="5" t="str">
        <f>IF(Table1[[#This Row],[Unit''s Leave Quota]]&lt;=6, "Approved", "Quota Exceeded")</f>
        <v>Approved</v>
      </c>
      <c r="L126" s="5"/>
      <c r="M126" t="s">
        <v>155</v>
      </c>
    </row>
    <row r="127" spans="1:13" hidden="1" x14ac:dyDescent="0.3">
      <c r="A127" s="6">
        <v>45782</v>
      </c>
      <c r="B127" t="s">
        <v>12</v>
      </c>
      <c r="C127" t="s">
        <v>13</v>
      </c>
      <c r="D127" t="s">
        <v>175</v>
      </c>
      <c r="E127" s="5" t="s">
        <v>176</v>
      </c>
      <c r="F127" s="5" t="s">
        <v>16</v>
      </c>
      <c r="G127" s="7">
        <v>45960</v>
      </c>
      <c r="H127" s="7">
        <v>45964</v>
      </c>
      <c r="I127" s="5" t="s">
        <v>177</v>
      </c>
      <c r="J127" s="4" cm="1">
        <f t="array" ref="J12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27" s="5" t="str">
        <f>IF(Table1[[#This Row],[Unit''s Leave Quota]]&lt;=6, "Approved", "Quota Exceeded")</f>
        <v>Approved</v>
      </c>
      <c r="L127" s="5"/>
      <c r="M127" t="s">
        <v>155</v>
      </c>
    </row>
    <row r="128" spans="1:13" hidden="1" x14ac:dyDescent="0.3">
      <c r="A128" s="6">
        <v>45789</v>
      </c>
      <c r="B128" t="s">
        <v>12</v>
      </c>
      <c r="C128" t="s">
        <v>22</v>
      </c>
      <c r="D128" t="s">
        <v>140</v>
      </c>
      <c r="E128" s="5" t="s">
        <v>150</v>
      </c>
      <c r="F128" s="5" t="s">
        <v>16</v>
      </c>
      <c r="G128" s="7">
        <v>45805</v>
      </c>
      <c r="H128" s="7">
        <v>45805</v>
      </c>
      <c r="I128" s="5" t="s">
        <v>158</v>
      </c>
      <c r="J128" s="4" cm="1">
        <f t="array" ref="J12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128" s="5" t="str">
        <f>IF(Table1[[#This Row],[Unit''s Leave Quota]]&lt;=6, "Approved", "Quota Exceeded")</f>
        <v>Approved</v>
      </c>
      <c r="L128" s="5"/>
      <c r="M128" t="s">
        <v>152</v>
      </c>
    </row>
    <row r="129" spans="1:13" hidden="1" x14ac:dyDescent="0.3">
      <c r="A129" s="6">
        <v>45792</v>
      </c>
      <c r="B129" t="s">
        <v>12</v>
      </c>
      <c r="C129" t="s">
        <v>13</v>
      </c>
      <c r="D129" t="s">
        <v>178</v>
      </c>
      <c r="E129" s="5" t="s">
        <v>171</v>
      </c>
      <c r="F129" s="5" t="s">
        <v>16</v>
      </c>
      <c r="G129" s="7">
        <v>45828</v>
      </c>
      <c r="H129" s="7">
        <v>45830</v>
      </c>
      <c r="I129" s="5" t="s">
        <v>81</v>
      </c>
      <c r="J129" s="4" cm="1">
        <f t="array" ref="J12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29" s="5" t="str">
        <f>IF(Table1[[#This Row],[Unit''s Leave Quota]]&lt;=6, "Approved", "Quota Exceeded")</f>
        <v>Approved</v>
      </c>
      <c r="L129" s="5"/>
      <c r="M129" t="s">
        <v>179</v>
      </c>
    </row>
    <row r="130" spans="1:13" hidden="1" x14ac:dyDescent="0.3">
      <c r="A130" s="6">
        <v>45795</v>
      </c>
      <c r="B130" t="s">
        <v>12</v>
      </c>
      <c r="C130" t="s">
        <v>22</v>
      </c>
      <c r="D130" t="s">
        <v>180</v>
      </c>
      <c r="E130" s="5" t="s">
        <v>181</v>
      </c>
      <c r="F130" s="5" t="s">
        <v>16</v>
      </c>
      <c r="G130" s="7">
        <v>45905</v>
      </c>
      <c r="H130" s="7">
        <v>45915</v>
      </c>
      <c r="I130" s="5" t="s">
        <v>160</v>
      </c>
      <c r="J130" s="4" cm="1">
        <f t="array" ref="J13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30" s="5" t="str">
        <f>IF(Table1[[#This Row],[Unit''s Leave Quota]]&lt;=6, "Approved", "Quota Exceeded")</f>
        <v>Approved</v>
      </c>
      <c r="L130" s="5"/>
      <c r="M130" t="s">
        <v>182</v>
      </c>
    </row>
    <row r="131" spans="1:13" hidden="1" x14ac:dyDescent="0.3">
      <c r="A131" s="6">
        <v>45798</v>
      </c>
      <c r="B131" t="s">
        <v>12</v>
      </c>
      <c r="C131" t="s">
        <v>120</v>
      </c>
      <c r="D131" t="s">
        <v>108</v>
      </c>
      <c r="E131" s="5" t="s">
        <v>77</v>
      </c>
      <c r="F131" s="5" t="s">
        <v>16</v>
      </c>
      <c r="G131" s="7">
        <v>45835</v>
      </c>
      <c r="H131" s="7">
        <v>45838</v>
      </c>
      <c r="I131" s="5" t="s">
        <v>183</v>
      </c>
      <c r="J131" s="4" cm="1">
        <f t="array" ref="J13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31" s="5" t="str">
        <f>IF(Table1[[#This Row],[Unit''s Leave Quota]]&lt;=6, "Approved", "Quota Exceeded")</f>
        <v>Approved</v>
      </c>
      <c r="L131" s="5"/>
      <c r="M131" t="s">
        <v>152</v>
      </c>
    </row>
    <row r="132" spans="1:13" hidden="1" x14ac:dyDescent="0.3">
      <c r="A132" s="6">
        <v>45798</v>
      </c>
      <c r="B132" t="s">
        <v>12</v>
      </c>
      <c r="C132" t="s">
        <v>22</v>
      </c>
      <c r="D132" t="s">
        <v>103</v>
      </c>
      <c r="E132" s="5" t="s">
        <v>184</v>
      </c>
      <c r="F132" s="5" t="s">
        <v>16</v>
      </c>
      <c r="G132" s="7">
        <v>45842</v>
      </c>
      <c r="H132" s="7">
        <v>45847</v>
      </c>
      <c r="I132" s="5" t="s">
        <v>44</v>
      </c>
      <c r="J132" s="4" cm="1">
        <f t="array" ref="J13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132" s="5" t="str">
        <f>IF(Table1[[#This Row],[Unit''s Leave Quota]]&lt;=6, "Approved", "Quota Exceeded")</f>
        <v>Approved</v>
      </c>
      <c r="L132" s="5"/>
      <c r="M132" t="s">
        <v>155</v>
      </c>
    </row>
    <row r="133" spans="1:13" hidden="1" x14ac:dyDescent="0.3">
      <c r="A133" s="6">
        <v>45800</v>
      </c>
      <c r="B133" t="s">
        <v>12</v>
      </c>
      <c r="C133" t="s">
        <v>161</v>
      </c>
      <c r="D133" t="s">
        <v>79</v>
      </c>
      <c r="E133" s="5" t="s">
        <v>185</v>
      </c>
      <c r="F133" s="5" t="s">
        <v>16</v>
      </c>
      <c r="G133" s="7">
        <v>45852</v>
      </c>
      <c r="H133" s="7">
        <v>45856</v>
      </c>
      <c r="I133" s="5" t="s">
        <v>81</v>
      </c>
      <c r="J133" s="4" cm="1">
        <f t="array" ref="J13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33" s="5" t="str">
        <f>IF(Table1[[#This Row],[Unit''s Leave Quota]]&lt;=6, "Approved", "Quota Exceeded")</f>
        <v>Approved</v>
      </c>
      <c r="L133" s="5"/>
      <c r="M133" t="s">
        <v>186</v>
      </c>
    </row>
    <row r="134" spans="1:13" hidden="1" x14ac:dyDescent="0.3">
      <c r="A134" s="6">
        <v>45803</v>
      </c>
      <c r="B134" t="s">
        <v>12</v>
      </c>
      <c r="C134" t="s">
        <v>13</v>
      </c>
      <c r="D134" t="s">
        <v>84</v>
      </c>
      <c r="E134" s="5" t="s">
        <v>187</v>
      </c>
      <c r="F134" s="5" t="s">
        <v>16</v>
      </c>
      <c r="G134" s="7">
        <v>45821</v>
      </c>
      <c r="H134" s="7">
        <v>45823</v>
      </c>
      <c r="I134" s="5" t="s">
        <v>108</v>
      </c>
      <c r="J134" s="4" cm="1">
        <f t="array" ref="J13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134" s="5" t="str">
        <f>IF(Table1[[#This Row],[Unit''s Leave Quota]]&lt;=6, "Approved", "Quota Exceeded")</f>
        <v>Approved</v>
      </c>
      <c r="L134" s="5"/>
      <c r="M134" t="s">
        <v>159</v>
      </c>
    </row>
    <row r="135" spans="1:13" hidden="1" x14ac:dyDescent="0.3">
      <c r="A135" s="6">
        <v>45803</v>
      </c>
      <c r="B135" t="s">
        <v>12</v>
      </c>
      <c r="C135" t="s">
        <v>120</v>
      </c>
      <c r="D135" t="s">
        <v>108</v>
      </c>
      <c r="E135" s="5" t="s">
        <v>185</v>
      </c>
      <c r="F135" s="5" t="s">
        <v>16</v>
      </c>
      <c r="G135" s="7">
        <v>45849</v>
      </c>
      <c r="H135" s="7">
        <v>45852</v>
      </c>
      <c r="I135" s="5" t="s">
        <v>183</v>
      </c>
      <c r="J135" s="4" cm="1">
        <f t="array" ref="J13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35" s="5" t="str">
        <f>IF(Table1[[#This Row],[Unit''s Leave Quota]]&lt;=6, "Approved", "Quota Exceeded")</f>
        <v>Approved</v>
      </c>
      <c r="L135" s="5"/>
      <c r="M135" t="s">
        <v>152</v>
      </c>
    </row>
    <row r="136" spans="1:13" hidden="1" x14ac:dyDescent="0.3">
      <c r="A136" s="6">
        <v>45803</v>
      </c>
      <c r="B136" t="s">
        <v>12</v>
      </c>
      <c r="C136" t="s">
        <v>13</v>
      </c>
      <c r="D136" t="s">
        <v>84</v>
      </c>
      <c r="E136" s="5" t="s">
        <v>187</v>
      </c>
      <c r="F136" s="5" t="s">
        <v>16</v>
      </c>
      <c r="G136" s="7">
        <v>45877</v>
      </c>
      <c r="H136" s="7">
        <v>45879</v>
      </c>
      <c r="I136" s="5" t="s">
        <v>108</v>
      </c>
      <c r="J136" s="4" cm="1">
        <f t="array" ref="J13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136" s="5" t="str">
        <f>IF(Table1[[#This Row],[Unit''s Leave Quota]]&lt;=6, "Approved", "Quota Exceeded")</f>
        <v>Approved</v>
      </c>
      <c r="L136" s="5"/>
      <c r="M136" t="s">
        <v>152</v>
      </c>
    </row>
    <row r="137" spans="1:13" hidden="1" x14ac:dyDescent="0.3">
      <c r="A137" s="6">
        <v>45803</v>
      </c>
      <c r="B137" t="s">
        <v>12</v>
      </c>
      <c r="C137" t="s">
        <v>13</v>
      </c>
      <c r="D137" t="s">
        <v>84</v>
      </c>
      <c r="E137" s="5" t="s">
        <v>187</v>
      </c>
      <c r="F137" s="5" t="s">
        <v>16</v>
      </c>
      <c r="G137" s="7">
        <v>45919</v>
      </c>
      <c r="H137" s="7">
        <v>45921</v>
      </c>
      <c r="I137" s="5" t="s">
        <v>108</v>
      </c>
      <c r="J137" s="4" cm="1">
        <f t="array" ref="J13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37" s="5" t="str">
        <f>IF(Table1[[#This Row],[Unit''s Leave Quota]]&lt;=6, "Approved", "Quota Exceeded")</f>
        <v>Approved</v>
      </c>
      <c r="L137" s="5"/>
      <c r="M137" t="s">
        <v>152</v>
      </c>
    </row>
    <row r="138" spans="1:13" hidden="1" x14ac:dyDescent="0.3">
      <c r="A138" s="6">
        <v>45804</v>
      </c>
      <c r="B138" t="s">
        <v>12</v>
      </c>
      <c r="C138" t="s">
        <v>22</v>
      </c>
      <c r="D138" t="s">
        <v>188</v>
      </c>
      <c r="E138" s="5" t="s">
        <v>189</v>
      </c>
      <c r="F138" s="5" t="s">
        <v>16</v>
      </c>
      <c r="G138" s="7">
        <v>45804</v>
      </c>
      <c r="H138" s="7">
        <v>45804</v>
      </c>
      <c r="I138" s="5" t="s">
        <v>81</v>
      </c>
      <c r="J138" s="4" cm="1">
        <f t="array" ref="J13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138" s="5" t="s">
        <v>190</v>
      </c>
      <c r="L138" s="5"/>
      <c r="M138" t="s">
        <v>152</v>
      </c>
    </row>
    <row r="139" spans="1:13" hidden="1" x14ac:dyDescent="0.3">
      <c r="A139" s="6">
        <v>45808</v>
      </c>
      <c r="B139" t="s">
        <v>12</v>
      </c>
      <c r="C139" t="s">
        <v>120</v>
      </c>
      <c r="D139" t="s">
        <v>30</v>
      </c>
      <c r="E139" s="5" t="s">
        <v>191</v>
      </c>
      <c r="F139" s="5" t="s">
        <v>16</v>
      </c>
      <c r="G139" s="7">
        <v>45810</v>
      </c>
      <c r="H139" s="7">
        <v>45810</v>
      </c>
      <c r="I139" s="5" t="s">
        <v>32</v>
      </c>
      <c r="J139" s="4" cm="1">
        <f t="array" ref="J13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139" s="5" t="str">
        <f>IF(Table1[[#This Row],[Unit''s Leave Quota]]&lt;=6, "Approved", "Quota Exceeded")</f>
        <v>Approved</v>
      </c>
      <c r="L139" s="5"/>
      <c r="M139" t="s">
        <v>192</v>
      </c>
    </row>
    <row r="140" spans="1:13" hidden="1" x14ac:dyDescent="0.3">
      <c r="A140" s="6">
        <v>45809</v>
      </c>
      <c r="B140" t="s">
        <v>12</v>
      </c>
      <c r="C140" t="s">
        <v>22</v>
      </c>
      <c r="D140" t="s">
        <v>73</v>
      </c>
      <c r="E140" s="5" t="s">
        <v>189</v>
      </c>
      <c r="F140" s="5" t="s">
        <v>16</v>
      </c>
      <c r="G140" s="7">
        <v>45809</v>
      </c>
      <c r="H140" s="7">
        <v>45809</v>
      </c>
      <c r="I140" s="5" t="s">
        <v>160</v>
      </c>
      <c r="J140" s="4" cm="1">
        <f t="array" ref="J14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40" s="5" t="s">
        <v>190</v>
      </c>
      <c r="L140" s="5"/>
      <c r="M140" t="s">
        <v>193</v>
      </c>
    </row>
    <row r="141" spans="1:13" hidden="1" x14ac:dyDescent="0.3">
      <c r="A141" s="6">
        <v>45809</v>
      </c>
      <c r="B141" t="s">
        <v>12</v>
      </c>
      <c r="C141" t="s">
        <v>22</v>
      </c>
      <c r="D141" t="s">
        <v>26</v>
      </c>
      <c r="E141" s="5" t="s">
        <v>194</v>
      </c>
      <c r="F141" s="5" t="s">
        <v>16</v>
      </c>
      <c r="G141" s="7">
        <v>45810</v>
      </c>
      <c r="H141" s="7">
        <v>45814</v>
      </c>
      <c r="I141" s="5" t="s">
        <v>85</v>
      </c>
      <c r="J141" s="4" cm="1">
        <f t="array" ref="J14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141" s="5" t="s">
        <v>190</v>
      </c>
      <c r="L141" s="5"/>
      <c r="M141" t="s">
        <v>152</v>
      </c>
    </row>
    <row r="142" spans="1:13" hidden="1" x14ac:dyDescent="0.3">
      <c r="A142" s="6">
        <v>45810</v>
      </c>
      <c r="B142" t="s">
        <v>12</v>
      </c>
      <c r="C142" t="s">
        <v>13</v>
      </c>
      <c r="D142" t="s">
        <v>166</v>
      </c>
      <c r="E142" s="5" t="s">
        <v>189</v>
      </c>
      <c r="F142" s="5" t="s">
        <v>16</v>
      </c>
      <c r="G142" s="7">
        <v>45810</v>
      </c>
      <c r="H142" s="7">
        <v>45810</v>
      </c>
      <c r="I142" s="5" t="s">
        <v>81</v>
      </c>
      <c r="J142" s="4" cm="1">
        <f t="array" ref="J14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142" s="5" t="s">
        <v>190</v>
      </c>
      <c r="L142" s="5"/>
      <c r="M142" t="s">
        <v>152</v>
      </c>
    </row>
    <row r="143" spans="1:13" hidden="1" x14ac:dyDescent="0.3">
      <c r="A143" s="6">
        <v>45810</v>
      </c>
      <c r="B143" t="s">
        <v>12</v>
      </c>
      <c r="C143" t="s">
        <v>195</v>
      </c>
      <c r="D143" t="s">
        <v>196</v>
      </c>
      <c r="E143" s="5" t="s">
        <v>150</v>
      </c>
      <c r="F143" s="5" t="s">
        <v>16</v>
      </c>
      <c r="G143" s="7">
        <v>45810</v>
      </c>
      <c r="H143" s="7">
        <v>45811</v>
      </c>
      <c r="I143" s="5" t="s">
        <v>30</v>
      </c>
      <c r="J143" s="4" cm="1">
        <f t="array" ref="J14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143" s="5" t="str">
        <f>IF(Table1[[#This Row],[Unit''s Leave Quota]]&lt;=6, "Approved", "Quota Exceeded")</f>
        <v>Approved</v>
      </c>
      <c r="L143" s="5"/>
      <c r="M143" t="s">
        <v>152</v>
      </c>
    </row>
    <row r="144" spans="1:13" hidden="1" x14ac:dyDescent="0.3">
      <c r="A144" s="6">
        <v>45810</v>
      </c>
      <c r="B144" t="s">
        <v>12</v>
      </c>
      <c r="C144" t="s">
        <v>197</v>
      </c>
      <c r="D144" t="s">
        <v>47</v>
      </c>
      <c r="E144" s="5" t="s">
        <v>198</v>
      </c>
      <c r="F144" s="5" t="s">
        <v>16</v>
      </c>
      <c r="G144" s="7">
        <v>45812</v>
      </c>
      <c r="H144" s="7">
        <v>45812</v>
      </c>
      <c r="I144" s="5" t="s">
        <v>199</v>
      </c>
      <c r="J144" s="4" cm="1">
        <f t="array" ref="J14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144" s="5" t="str">
        <f>IF(Table1[[#This Row],[Unit''s Leave Quota]]&lt;=6, "Approved", "Quota Exceeded")</f>
        <v>Approved</v>
      </c>
      <c r="L144" s="5"/>
      <c r="M144" t="s">
        <v>200</v>
      </c>
    </row>
    <row r="145" spans="1:13" hidden="1" x14ac:dyDescent="0.3">
      <c r="A145" s="6">
        <v>45810</v>
      </c>
      <c r="B145" t="s">
        <v>12</v>
      </c>
      <c r="C145" t="s">
        <v>120</v>
      </c>
      <c r="D145" t="s">
        <v>108</v>
      </c>
      <c r="E145" s="5" t="s">
        <v>66</v>
      </c>
      <c r="F145" s="5" t="s">
        <v>16</v>
      </c>
      <c r="G145" s="7">
        <v>45849</v>
      </c>
      <c r="H145" s="7">
        <v>45853</v>
      </c>
      <c r="I145" s="5" t="s">
        <v>183</v>
      </c>
      <c r="J145" s="4" cm="1">
        <f t="array" ref="J14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45" s="5" t="str">
        <f>IF(Table1[[#This Row],[Unit''s Leave Quota]]&lt;=6, "Approved", "Quota Exceeded")</f>
        <v>Approved</v>
      </c>
      <c r="L145" s="5"/>
      <c r="M145" t="s">
        <v>201</v>
      </c>
    </row>
    <row r="146" spans="1:13" hidden="1" x14ac:dyDescent="0.3">
      <c r="A146" s="6">
        <v>45811</v>
      </c>
      <c r="B146" t="s">
        <v>12</v>
      </c>
      <c r="C146" t="s">
        <v>173</v>
      </c>
      <c r="D146" t="s">
        <v>202</v>
      </c>
      <c r="E146" s="5" t="s">
        <v>150</v>
      </c>
      <c r="F146" s="5" t="s">
        <v>16</v>
      </c>
      <c r="G146" s="7">
        <v>45813</v>
      </c>
      <c r="H146" s="7">
        <v>45813</v>
      </c>
      <c r="I146" s="5" t="s">
        <v>30</v>
      </c>
      <c r="J146" s="4" cm="1">
        <f t="array" ref="J14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146" s="5" t="str">
        <f>IF(Table1[[#This Row],[Unit''s Leave Quota]]&lt;=6, "Approved", "Quota Exceeded")</f>
        <v>Approved</v>
      </c>
      <c r="L146" s="5"/>
      <c r="M146" t="s">
        <v>203</v>
      </c>
    </row>
    <row r="147" spans="1:13" hidden="1" x14ac:dyDescent="0.3">
      <c r="A147" s="6">
        <v>45811</v>
      </c>
      <c r="B147" t="s">
        <v>12</v>
      </c>
      <c r="C147" t="s">
        <v>22</v>
      </c>
      <c r="D147" t="s">
        <v>204</v>
      </c>
      <c r="E147" s="5" t="s">
        <v>80</v>
      </c>
      <c r="F147" s="5" t="s">
        <v>16</v>
      </c>
      <c r="G147" s="7">
        <v>45861</v>
      </c>
      <c r="H147" s="7">
        <v>45864</v>
      </c>
      <c r="I147" s="5" t="s">
        <v>81</v>
      </c>
      <c r="J147" s="4" cm="1">
        <f t="array" ref="J14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47" s="5" t="str">
        <f>IF(Table1[[#This Row],[Unit''s Leave Quota]]&lt;=6, "Approved", "Quota Exceeded")</f>
        <v>Approved</v>
      </c>
      <c r="L147" s="5"/>
      <c r="M147" t="s">
        <v>205</v>
      </c>
    </row>
    <row r="148" spans="1:13" hidden="1" x14ac:dyDescent="0.3">
      <c r="A148" s="6">
        <v>45812</v>
      </c>
      <c r="B148" t="s">
        <v>12</v>
      </c>
      <c r="C148" t="s">
        <v>195</v>
      </c>
      <c r="D148" t="s">
        <v>188</v>
      </c>
      <c r="E148" s="5" t="s">
        <v>150</v>
      </c>
      <c r="F148" s="5" t="s">
        <v>16</v>
      </c>
      <c r="G148" s="7">
        <v>45818</v>
      </c>
      <c r="H148" s="7">
        <v>45819</v>
      </c>
      <c r="I148" s="5" t="s">
        <v>30</v>
      </c>
      <c r="J148" s="4" cm="1">
        <f t="array" ref="J14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48" s="5" t="str">
        <f>IF(Table1[[#This Row],[Unit''s Leave Quota]]&lt;=6, "Approved", "Quota Exceeded")</f>
        <v>Approved</v>
      </c>
      <c r="L148" s="5"/>
      <c r="M148" t="s">
        <v>200</v>
      </c>
    </row>
    <row r="149" spans="1:13" hidden="1" x14ac:dyDescent="0.3">
      <c r="A149" s="6">
        <v>45812</v>
      </c>
      <c r="B149" t="s">
        <v>12</v>
      </c>
      <c r="C149" t="s">
        <v>120</v>
      </c>
      <c r="D149" t="s">
        <v>108</v>
      </c>
      <c r="E149" s="5" t="s">
        <v>75</v>
      </c>
      <c r="F149" s="5" t="s">
        <v>16</v>
      </c>
      <c r="G149" s="7">
        <v>45890</v>
      </c>
      <c r="H149" s="7">
        <v>45894</v>
      </c>
      <c r="I149" s="5" t="s">
        <v>183</v>
      </c>
      <c r="J149" s="4" cm="1">
        <f t="array" ref="J14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149" s="5" t="str">
        <f>IF(Table1[[#This Row],[Unit''s Leave Quota]]&lt;=6, "Approved", "Quota Exceeded")</f>
        <v>Approved</v>
      </c>
      <c r="L149" s="5"/>
      <c r="M149" t="s">
        <v>155</v>
      </c>
    </row>
    <row r="150" spans="1:13" hidden="1" x14ac:dyDescent="0.3">
      <c r="A150" s="6">
        <v>45814</v>
      </c>
      <c r="B150" t="s">
        <v>12</v>
      </c>
      <c r="C150" t="s">
        <v>22</v>
      </c>
      <c r="D150" t="s">
        <v>134</v>
      </c>
      <c r="E150" s="5" t="s">
        <v>206</v>
      </c>
      <c r="F150" s="5" t="s">
        <v>16</v>
      </c>
      <c r="G150" s="7">
        <v>45815</v>
      </c>
      <c r="H150" s="7">
        <v>45815</v>
      </c>
      <c r="I150" s="5" t="s">
        <v>44</v>
      </c>
      <c r="J150" s="4" cm="1">
        <f t="array" ref="J15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150" s="5" t="str">
        <f>IF(Table1[[#This Row],[Unit''s Leave Quota]]&lt;=6, "Approved", "Quota Exceeded")</f>
        <v>Approved</v>
      </c>
      <c r="L150" s="5"/>
      <c r="M150" t="s">
        <v>155</v>
      </c>
    </row>
    <row r="151" spans="1:13" hidden="1" x14ac:dyDescent="0.3">
      <c r="A151" s="6">
        <v>45814</v>
      </c>
      <c r="B151" t="s">
        <v>12</v>
      </c>
      <c r="C151" t="s">
        <v>55</v>
      </c>
      <c r="D151" t="s">
        <v>79</v>
      </c>
      <c r="E151" s="5" t="s">
        <v>150</v>
      </c>
      <c r="F151" s="5" t="s">
        <v>16</v>
      </c>
      <c r="G151" s="7">
        <v>45819</v>
      </c>
      <c r="H151" s="7">
        <v>45819</v>
      </c>
      <c r="I151" s="5" t="s">
        <v>199</v>
      </c>
      <c r="J151" s="4" cm="1">
        <f t="array" ref="J15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51" s="5" t="str">
        <f>IF(Table1[[#This Row],[Unit''s Leave Quota]]&lt;=6, "Approved", "Quota Exceeded")</f>
        <v>Approved</v>
      </c>
      <c r="L151" s="5"/>
      <c r="M151" t="s">
        <v>207</v>
      </c>
    </row>
    <row r="152" spans="1:13" hidden="1" x14ac:dyDescent="0.3">
      <c r="A152" s="6">
        <v>45814</v>
      </c>
      <c r="B152" t="s">
        <v>12</v>
      </c>
      <c r="C152" t="s">
        <v>13</v>
      </c>
      <c r="D152" t="s">
        <v>84</v>
      </c>
      <c r="E152" s="5" t="s">
        <v>80</v>
      </c>
      <c r="F152" s="5" t="s">
        <v>16</v>
      </c>
      <c r="G152" s="7">
        <v>45821</v>
      </c>
      <c r="H152" s="7">
        <v>45823</v>
      </c>
      <c r="I152" s="5" t="s">
        <v>108</v>
      </c>
      <c r="J152" s="4" cm="1">
        <f t="array" ref="J15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152" s="5" t="str">
        <f>IF(Table1[[#This Row],[Unit''s Leave Quota]]&lt;=6, "Approved", "Quota Exceeded")</f>
        <v>Approved</v>
      </c>
      <c r="L152" s="5"/>
      <c r="M152" t="s">
        <v>159</v>
      </c>
    </row>
    <row r="153" spans="1:13" hidden="1" x14ac:dyDescent="0.3">
      <c r="A153" s="6">
        <v>45814</v>
      </c>
      <c r="B153" t="s">
        <v>12</v>
      </c>
      <c r="C153" t="s">
        <v>161</v>
      </c>
      <c r="D153" t="s">
        <v>147</v>
      </c>
      <c r="E153" s="5" t="s">
        <v>162</v>
      </c>
      <c r="F153" s="5" t="s">
        <v>16</v>
      </c>
      <c r="G153" s="7">
        <v>45843</v>
      </c>
      <c r="H153" s="7">
        <v>45845</v>
      </c>
      <c r="I153" s="5" t="s">
        <v>160</v>
      </c>
      <c r="J153" s="4" cm="1">
        <f t="array" ref="J15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153" s="5" t="str">
        <f>IF(Table1[[#This Row],[Unit''s Leave Quota]]&lt;=6, "Approved", "Quota Exceeded")</f>
        <v>Approved</v>
      </c>
      <c r="L153" s="5"/>
      <c r="M153" t="s">
        <v>208</v>
      </c>
    </row>
    <row r="154" spans="1:13" hidden="1" x14ac:dyDescent="0.3">
      <c r="A154" s="6">
        <v>45814</v>
      </c>
      <c r="B154" t="s">
        <v>12</v>
      </c>
      <c r="C154" t="s">
        <v>22</v>
      </c>
      <c r="D154" t="s">
        <v>73</v>
      </c>
      <c r="E154" s="5" t="s">
        <v>209</v>
      </c>
      <c r="F154" s="5" t="s">
        <v>16</v>
      </c>
      <c r="G154" s="7">
        <v>45861</v>
      </c>
      <c r="H154" s="7">
        <v>45864</v>
      </c>
      <c r="I154" s="5" t="s">
        <v>160</v>
      </c>
      <c r="J154" s="4" cm="1">
        <f t="array" ref="J15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54" s="5" t="str">
        <f>IF(Table1[[#This Row],[Unit''s Leave Quota]]&lt;=6, "Approved", "Quota Exceeded")</f>
        <v>Approved</v>
      </c>
      <c r="L154" s="5"/>
      <c r="M154" t="s">
        <v>155</v>
      </c>
    </row>
    <row r="155" spans="1:13" hidden="1" x14ac:dyDescent="0.3">
      <c r="A155" s="6">
        <v>45814</v>
      </c>
      <c r="B155" t="s">
        <v>12</v>
      </c>
      <c r="C155" t="s">
        <v>13</v>
      </c>
      <c r="D155" t="s">
        <v>62</v>
      </c>
      <c r="E155" s="5" t="s">
        <v>89</v>
      </c>
      <c r="F155" s="5" t="s">
        <v>16</v>
      </c>
      <c r="G155" s="7">
        <v>45906</v>
      </c>
      <c r="H155" s="7">
        <v>45909</v>
      </c>
      <c r="I155" s="5" t="s">
        <v>165</v>
      </c>
      <c r="J155" s="4" cm="1">
        <f t="array" ref="J15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55" s="5" t="str">
        <f>IF(Table1[[#This Row],[Unit''s Leave Quota]]&lt;=6, "Approved", "Quota Exceeded")</f>
        <v>Approved</v>
      </c>
      <c r="L155" s="5"/>
      <c r="M155" t="s">
        <v>155</v>
      </c>
    </row>
    <row r="156" spans="1:13" hidden="1" x14ac:dyDescent="0.3">
      <c r="A156" s="6">
        <v>45814</v>
      </c>
      <c r="B156" t="s">
        <v>12</v>
      </c>
      <c r="C156" t="s">
        <v>210</v>
      </c>
      <c r="D156" t="s">
        <v>158</v>
      </c>
      <c r="E156" s="5" t="s">
        <v>211</v>
      </c>
      <c r="F156" s="5" t="s">
        <v>16</v>
      </c>
      <c r="G156" s="7">
        <v>45981</v>
      </c>
      <c r="H156" s="7">
        <v>45993</v>
      </c>
      <c r="I156" s="5" t="s">
        <v>212</v>
      </c>
      <c r="J156" s="4" cm="1">
        <f t="array" ref="J15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56" s="5" t="str">
        <f>IF(Table1[[#This Row],[Unit''s Leave Quota]]&lt;=6, "Approved", "Quota Exceeded")</f>
        <v>Approved</v>
      </c>
      <c r="L156" s="5"/>
      <c r="M156" t="s">
        <v>155</v>
      </c>
    </row>
    <row r="157" spans="1:13" hidden="1" x14ac:dyDescent="0.3">
      <c r="A157" s="6">
        <v>45814</v>
      </c>
      <c r="B157" t="s">
        <v>12</v>
      </c>
      <c r="C157" t="s">
        <v>173</v>
      </c>
      <c r="D157" t="s">
        <v>23</v>
      </c>
      <c r="E157" s="5" t="s">
        <v>213</v>
      </c>
      <c r="F157" s="5" t="s">
        <v>16</v>
      </c>
      <c r="G157" s="7">
        <v>45984</v>
      </c>
      <c r="H157" s="7">
        <v>46001</v>
      </c>
      <c r="I157" s="5" t="s">
        <v>160</v>
      </c>
      <c r="J157" s="4" cm="1">
        <f t="array" ref="J15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57" s="5" t="str">
        <f>IF(Table1[[#This Row],[Unit''s Leave Quota]]&lt;=6, "Approved", "Quota Exceeded")</f>
        <v>Approved</v>
      </c>
      <c r="L157" s="5"/>
      <c r="M157" t="s">
        <v>214</v>
      </c>
    </row>
    <row r="158" spans="1:13" hidden="1" x14ac:dyDescent="0.3">
      <c r="A158" s="6">
        <v>45815</v>
      </c>
      <c r="B158" t="s">
        <v>12</v>
      </c>
      <c r="C158" t="s">
        <v>55</v>
      </c>
      <c r="D158" t="s">
        <v>156</v>
      </c>
      <c r="E158" s="5" t="s">
        <v>150</v>
      </c>
      <c r="F158" s="5" t="s">
        <v>16</v>
      </c>
      <c r="G158" s="7">
        <v>45816</v>
      </c>
      <c r="H158" s="7">
        <v>45816</v>
      </c>
      <c r="I158" s="5" t="s">
        <v>165</v>
      </c>
      <c r="J158" s="4" cm="1">
        <f t="array" ref="J15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58" s="5" t="str">
        <f>IF(Table1[[#This Row],[Unit''s Leave Quota]]&lt;=6, "Approved", "Quota Exceeded")</f>
        <v>Approved</v>
      </c>
      <c r="L158" s="5"/>
      <c r="M158" t="s">
        <v>152</v>
      </c>
    </row>
    <row r="159" spans="1:13" hidden="1" x14ac:dyDescent="0.3">
      <c r="A159" s="6">
        <v>45815</v>
      </c>
      <c r="B159" t="s">
        <v>12</v>
      </c>
      <c r="C159" t="s">
        <v>55</v>
      </c>
      <c r="D159" t="s">
        <v>156</v>
      </c>
      <c r="E159" s="5" t="s">
        <v>150</v>
      </c>
      <c r="F159" s="5" t="s">
        <v>16</v>
      </c>
      <c r="G159" s="7">
        <v>45822</v>
      </c>
      <c r="H159" s="7">
        <v>45822</v>
      </c>
      <c r="I159" s="5" t="s">
        <v>165</v>
      </c>
      <c r="J159" s="4" cm="1">
        <f t="array" ref="J15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159" s="5" t="str">
        <f>IF(Table1[[#This Row],[Unit''s Leave Quota]]&lt;=6, "Approved", "Quota Exceeded")</f>
        <v>Approved</v>
      </c>
      <c r="L159" s="5"/>
      <c r="M159" t="s">
        <v>152</v>
      </c>
    </row>
    <row r="160" spans="1:13" hidden="1" x14ac:dyDescent="0.3">
      <c r="A160" s="6">
        <v>45815</v>
      </c>
      <c r="B160" t="s">
        <v>12</v>
      </c>
      <c r="C160" t="s">
        <v>55</v>
      </c>
      <c r="D160" t="s">
        <v>156</v>
      </c>
      <c r="E160" s="5" t="s">
        <v>77</v>
      </c>
      <c r="F160" s="5" t="s">
        <v>16</v>
      </c>
      <c r="G160" s="7">
        <v>45826</v>
      </c>
      <c r="H160" s="7">
        <v>45826</v>
      </c>
      <c r="I160" s="5" t="s">
        <v>165</v>
      </c>
      <c r="J160" s="4" cm="1">
        <f t="array" ref="J16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60" s="5" t="str">
        <f>IF(Table1[[#This Row],[Unit''s Leave Quota]]&lt;=6, "Approved", "Quota Exceeded")</f>
        <v>Approved</v>
      </c>
      <c r="L160" s="5"/>
      <c r="M160" t="s">
        <v>152</v>
      </c>
    </row>
    <row r="161" spans="1:13" hidden="1" x14ac:dyDescent="0.3">
      <c r="A161" s="6">
        <v>45815</v>
      </c>
      <c r="B161" t="s">
        <v>12</v>
      </c>
      <c r="C161" t="s">
        <v>55</v>
      </c>
      <c r="D161" t="s">
        <v>156</v>
      </c>
      <c r="E161" s="5" t="s">
        <v>150</v>
      </c>
      <c r="F161" s="5" t="s">
        <v>16</v>
      </c>
      <c r="G161" s="7">
        <v>45836</v>
      </c>
      <c r="H161" s="7">
        <v>45837</v>
      </c>
      <c r="I161" s="5" t="s">
        <v>165</v>
      </c>
      <c r="J161" s="4" cm="1">
        <f t="array" ref="J16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61" s="5" t="str">
        <f>IF(Table1[[#This Row],[Unit''s Leave Quota]]&lt;=6, "Approved", "Quota Exceeded")</f>
        <v>Approved</v>
      </c>
      <c r="L161" s="5"/>
      <c r="M161" t="s">
        <v>152</v>
      </c>
    </row>
    <row r="162" spans="1:13" hidden="1" x14ac:dyDescent="0.3">
      <c r="A162" s="6">
        <v>45815</v>
      </c>
      <c r="B162" t="s">
        <v>12</v>
      </c>
      <c r="C162" t="s">
        <v>13</v>
      </c>
      <c r="D162" t="s">
        <v>62</v>
      </c>
      <c r="E162" s="5" t="s">
        <v>215</v>
      </c>
      <c r="F162" s="5" t="s">
        <v>16</v>
      </c>
      <c r="G162" s="7">
        <v>45991</v>
      </c>
      <c r="H162" s="7">
        <v>46001</v>
      </c>
      <c r="I162" s="5" t="s">
        <v>165</v>
      </c>
      <c r="J162" s="4" cm="1">
        <f t="array" ref="J16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62" s="5" t="str">
        <f>IF(Table1[[#This Row],[Unit''s Leave Quota]]&lt;=6, "Approved", "Quota Exceeded")</f>
        <v>Approved</v>
      </c>
      <c r="L162" s="5"/>
      <c r="M162" t="s">
        <v>155</v>
      </c>
    </row>
    <row r="163" spans="1:13" hidden="1" x14ac:dyDescent="0.3">
      <c r="A163" s="6">
        <v>45816</v>
      </c>
      <c r="B163" t="s">
        <v>12</v>
      </c>
      <c r="C163" t="s">
        <v>195</v>
      </c>
      <c r="D163" t="s">
        <v>202</v>
      </c>
      <c r="E163" s="5" t="s">
        <v>150</v>
      </c>
      <c r="F163" s="5" t="s">
        <v>16</v>
      </c>
      <c r="G163" s="7">
        <v>45816</v>
      </c>
      <c r="H163" s="7">
        <v>45816</v>
      </c>
      <c r="I163" s="5" t="s">
        <v>30</v>
      </c>
      <c r="J163" s="4" cm="1">
        <f t="array" ref="J16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63" s="5" t="str">
        <f>IF(Table1[[#This Row],[Unit''s Leave Quota]]&lt;=6, "Approved", "Quota Exceeded")</f>
        <v>Approved</v>
      </c>
      <c r="L163" s="5"/>
      <c r="M163" t="s">
        <v>216</v>
      </c>
    </row>
    <row r="164" spans="1:13" hidden="1" x14ac:dyDescent="0.3">
      <c r="A164" s="6">
        <v>45816</v>
      </c>
      <c r="B164" t="s">
        <v>12</v>
      </c>
      <c r="C164" t="s">
        <v>55</v>
      </c>
      <c r="D164" t="s">
        <v>217</v>
      </c>
      <c r="E164" s="5" t="s">
        <v>57</v>
      </c>
      <c r="F164" s="5" t="s">
        <v>16</v>
      </c>
      <c r="G164" s="7">
        <v>45853</v>
      </c>
      <c r="H164" s="7">
        <v>45853</v>
      </c>
      <c r="I164" s="5" t="s">
        <v>165</v>
      </c>
      <c r="J164" s="4" cm="1">
        <f t="array" ref="J16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164" s="5" t="str">
        <f>IF(Table1[[#This Row],[Unit''s Leave Quota]]&lt;=6, "Approved", "Quota Exceeded")</f>
        <v>Approved</v>
      </c>
      <c r="L164" s="5"/>
      <c r="M164" t="s">
        <v>155</v>
      </c>
    </row>
    <row r="165" spans="1:13" hidden="1" x14ac:dyDescent="0.3">
      <c r="A165" s="6">
        <v>45816</v>
      </c>
      <c r="B165" t="s">
        <v>12</v>
      </c>
      <c r="C165" t="s">
        <v>120</v>
      </c>
      <c r="D165" t="s">
        <v>30</v>
      </c>
      <c r="E165" s="5" t="s">
        <v>167</v>
      </c>
      <c r="F165" s="5" t="s">
        <v>16</v>
      </c>
      <c r="G165" s="7">
        <v>45942</v>
      </c>
      <c r="H165" s="7">
        <v>45950</v>
      </c>
      <c r="I165" s="5" t="s">
        <v>32</v>
      </c>
      <c r="J165" s="4" cm="1">
        <f t="array" ref="J16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65" s="5" t="str">
        <f>IF(Table1[[#This Row],[Unit''s Leave Quota]]&lt;=6, "Approved", "Quota Exceeded")</f>
        <v>Approved</v>
      </c>
      <c r="L165" s="5"/>
      <c r="M165" t="s">
        <v>203</v>
      </c>
    </row>
    <row r="166" spans="1:13" hidden="1" x14ac:dyDescent="0.3">
      <c r="A166" s="6">
        <v>45816</v>
      </c>
      <c r="B166" t="s">
        <v>12</v>
      </c>
      <c r="C166" t="s">
        <v>120</v>
      </c>
      <c r="D166" t="s">
        <v>30</v>
      </c>
      <c r="E166" s="5" t="s">
        <v>93</v>
      </c>
      <c r="F166" s="5" t="s">
        <v>16</v>
      </c>
      <c r="G166" s="7">
        <v>45977</v>
      </c>
      <c r="H166" s="7">
        <v>45986</v>
      </c>
      <c r="I166" s="5" t="s">
        <v>32</v>
      </c>
      <c r="J166" s="4" cm="1">
        <f t="array" ref="J16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66" s="5" t="str">
        <f>IF(Table1[[#This Row],[Unit''s Leave Quota]]&lt;=6, "Approved", "Quota Exceeded")</f>
        <v>Approved</v>
      </c>
      <c r="L166" s="5"/>
      <c r="M166" t="s">
        <v>203</v>
      </c>
    </row>
    <row r="167" spans="1:13" hidden="1" x14ac:dyDescent="0.3">
      <c r="A167" s="6">
        <v>45817</v>
      </c>
      <c r="B167" t="s">
        <v>12</v>
      </c>
      <c r="C167" t="s">
        <v>22</v>
      </c>
      <c r="D167" t="s">
        <v>218</v>
      </c>
      <c r="E167" s="5" t="s">
        <v>206</v>
      </c>
      <c r="F167" s="5" t="s">
        <v>16</v>
      </c>
      <c r="G167" s="7">
        <v>45820</v>
      </c>
      <c r="H167" s="7">
        <v>45820</v>
      </c>
      <c r="I167" s="5" t="s">
        <v>44</v>
      </c>
      <c r="J167" s="4" cm="1">
        <f t="array" ref="J16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167" s="5" t="str">
        <f>IF(Table1[[#This Row],[Unit''s Leave Quota]]&lt;=6, "Approved", "Quota Exceeded")</f>
        <v>Approved</v>
      </c>
      <c r="L167" s="5"/>
      <c r="M167" t="s">
        <v>155</v>
      </c>
    </row>
    <row r="168" spans="1:13" hidden="1" x14ac:dyDescent="0.3">
      <c r="A168" s="6">
        <v>45820</v>
      </c>
      <c r="B168" t="s">
        <v>12</v>
      </c>
      <c r="C168" t="s">
        <v>22</v>
      </c>
      <c r="D168" t="s">
        <v>51</v>
      </c>
      <c r="E168" s="5" t="s">
        <v>206</v>
      </c>
      <c r="F168" s="5" t="s">
        <v>16</v>
      </c>
      <c r="G168" s="7">
        <v>45820</v>
      </c>
      <c r="H168" s="7">
        <v>45820</v>
      </c>
      <c r="I168" s="5" t="s">
        <v>160</v>
      </c>
      <c r="J168" s="4" cm="1">
        <f t="array" ref="J16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168" s="5" t="str">
        <f>IF(Table1[[#This Row],[Unit''s Leave Quota]]&lt;=6, "Approved", "Quota Exceeded")</f>
        <v>Approved</v>
      </c>
      <c r="L168" s="5"/>
      <c r="M168" t="s">
        <v>219</v>
      </c>
    </row>
    <row r="169" spans="1:13" hidden="1" x14ac:dyDescent="0.3">
      <c r="A169" s="6">
        <v>45821</v>
      </c>
      <c r="B169" t="s">
        <v>12</v>
      </c>
      <c r="C169" t="s">
        <v>55</v>
      </c>
      <c r="D169" t="s">
        <v>220</v>
      </c>
      <c r="E169" s="5" t="s">
        <v>77</v>
      </c>
      <c r="F169" s="5" t="s">
        <v>16</v>
      </c>
      <c r="G169" s="7">
        <v>45821</v>
      </c>
      <c r="H169" s="7">
        <v>45821</v>
      </c>
      <c r="I169" s="5" t="s">
        <v>165</v>
      </c>
      <c r="J169" s="4" cm="1">
        <f t="array" ref="J16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69" s="5" t="str">
        <f>IF(Table1[[#This Row],[Unit''s Leave Quota]]&lt;=6, "Approved", "Quota Exceeded")</f>
        <v>Approved</v>
      </c>
      <c r="L169" s="5"/>
      <c r="M169" t="s">
        <v>152</v>
      </c>
    </row>
    <row r="170" spans="1:13" hidden="1" x14ac:dyDescent="0.3">
      <c r="A170" s="6">
        <v>45821</v>
      </c>
      <c r="B170" t="s">
        <v>12</v>
      </c>
      <c r="C170" t="s">
        <v>22</v>
      </c>
      <c r="D170" t="s">
        <v>134</v>
      </c>
      <c r="E170" s="5" t="s">
        <v>206</v>
      </c>
      <c r="F170" s="5" t="s">
        <v>16</v>
      </c>
      <c r="G170" s="7">
        <v>45822</v>
      </c>
      <c r="H170" s="7">
        <v>45822</v>
      </c>
      <c r="I170" s="5" t="s">
        <v>44</v>
      </c>
      <c r="J170" s="4" cm="1">
        <f t="array" ref="J17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170" s="5" t="str">
        <f>IF(Table1[[#This Row],[Unit''s Leave Quota]]&lt;=6, "Approved", "Quota Exceeded")</f>
        <v>Approved</v>
      </c>
      <c r="L170" s="5"/>
      <c r="M170" t="s">
        <v>155</v>
      </c>
    </row>
    <row r="171" spans="1:13" hidden="1" x14ac:dyDescent="0.3">
      <c r="A171" s="6">
        <v>45823</v>
      </c>
      <c r="B171" t="s">
        <v>12</v>
      </c>
      <c r="C171" t="s">
        <v>22</v>
      </c>
      <c r="D171" t="s">
        <v>140</v>
      </c>
      <c r="E171" s="5" t="s">
        <v>150</v>
      </c>
      <c r="F171" s="5" t="s">
        <v>16</v>
      </c>
      <c r="G171" s="7">
        <v>45825</v>
      </c>
      <c r="H171" s="7">
        <v>45825</v>
      </c>
      <c r="I171" s="5" t="s">
        <v>165</v>
      </c>
      <c r="J171" s="4" cm="1">
        <f t="array" ref="J17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71" s="5" t="str">
        <f>IF(Table1[[#This Row],[Unit''s Leave Quota]]&lt;=6, "Approved", "Quota Exceeded")</f>
        <v>Approved</v>
      </c>
      <c r="L171" s="5"/>
      <c r="M171" t="s">
        <v>152</v>
      </c>
    </row>
    <row r="172" spans="1:13" hidden="1" x14ac:dyDescent="0.3">
      <c r="A172" s="6">
        <v>45823</v>
      </c>
      <c r="B172" t="s">
        <v>12</v>
      </c>
      <c r="C172" t="s">
        <v>13</v>
      </c>
      <c r="D172" t="s">
        <v>166</v>
      </c>
      <c r="E172" s="5" t="s">
        <v>187</v>
      </c>
      <c r="F172" s="5" t="s">
        <v>16</v>
      </c>
      <c r="G172" s="7">
        <v>45825</v>
      </c>
      <c r="H172" s="7">
        <v>45825</v>
      </c>
      <c r="I172" s="5" t="s">
        <v>81</v>
      </c>
      <c r="J172" s="4" cm="1">
        <f t="array" ref="J17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72" s="5" t="s">
        <v>190</v>
      </c>
      <c r="L172" s="5"/>
      <c r="M172" t="s">
        <v>152</v>
      </c>
    </row>
    <row r="173" spans="1:13" hidden="1" x14ac:dyDescent="0.3">
      <c r="A173" s="6">
        <v>45823</v>
      </c>
      <c r="B173" t="s">
        <v>12</v>
      </c>
      <c r="C173" t="s">
        <v>221</v>
      </c>
      <c r="D173" t="s">
        <v>132</v>
      </c>
      <c r="E173" s="5" t="s">
        <v>80</v>
      </c>
      <c r="F173" s="5" t="s">
        <v>16</v>
      </c>
      <c r="G173" s="7">
        <v>45826</v>
      </c>
      <c r="H173" s="7">
        <v>45827</v>
      </c>
      <c r="I173" s="5" t="s">
        <v>108</v>
      </c>
      <c r="J173" s="4" cm="1">
        <f t="array" ref="J17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73" s="5" t="str">
        <f>IF(Table1[[#This Row],[Unit''s Leave Quota]]&lt;=6, "Approved", "Quota Exceeded")</f>
        <v>Approved</v>
      </c>
      <c r="L173" s="5"/>
      <c r="M173" t="s">
        <v>155</v>
      </c>
    </row>
    <row r="174" spans="1:13" hidden="1" x14ac:dyDescent="0.3">
      <c r="A174" s="6">
        <v>45824</v>
      </c>
      <c r="B174" t="s">
        <v>12</v>
      </c>
      <c r="C174" t="s">
        <v>173</v>
      </c>
      <c r="D174" t="s">
        <v>196</v>
      </c>
      <c r="E174" s="5" t="s">
        <v>189</v>
      </c>
      <c r="F174" s="5" t="s">
        <v>16</v>
      </c>
      <c r="G174" s="7">
        <v>45824</v>
      </c>
      <c r="H174" s="7">
        <v>45824</v>
      </c>
      <c r="I174" s="5" t="s">
        <v>30</v>
      </c>
      <c r="J174" s="4" cm="1">
        <f t="array" ref="J17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174" s="5" t="str">
        <f>IF(Table1[[#This Row],[Unit''s Leave Quota]]&lt;=6, "Approved", "Quota Exceeded")</f>
        <v>Approved</v>
      </c>
      <c r="L174" s="5"/>
      <c r="M174" t="s">
        <v>203</v>
      </c>
    </row>
    <row r="175" spans="1:13" hidden="1" x14ac:dyDescent="0.3">
      <c r="A175" s="6">
        <v>45826</v>
      </c>
      <c r="B175" t="s">
        <v>12</v>
      </c>
      <c r="C175" t="s">
        <v>161</v>
      </c>
      <c r="D175" t="s">
        <v>79</v>
      </c>
      <c r="E175" s="5" t="s">
        <v>31</v>
      </c>
      <c r="F175" s="5" t="s">
        <v>16</v>
      </c>
      <c r="G175" s="7">
        <v>45899</v>
      </c>
      <c r="H175" s="7">
        <v>45907</v>
      </c>
      <c r="I175" s="5" t="s">
        <v>81</v>
      </c>
      <c r="J175" s="4" cm="1">
        <f t="array" ref="J17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75" s="5" t="str">
        <f>IF(Table1[[#This Row],[Unit''s Leave Quota]]&lt;=6, "Approved", "Quota Exceeded")</f>
        <v>Approved</v>
      </c>
      <c r="L175" s="5"/>
      <c r="M175" t="s">
        <v>222</v>
      </c>
    </row>
    <row r="176" spans="1:13" hidden="1" x14ac:dyDescent="0.3">
      <c r="A176" s="6">
        <v>45827</v>
      </c>
      <c r="B176" t="s">
        <v>12</v>
      </c>
      <c r="C176" t="s">
        <v>13</v>
      </c>
      <c r="D176" t="s">
        <v>121</v>
      </c>
      <c r="E176" s="5" t="s">
        <v>187</v>
      </c>
      <c r="F176" s="5" t="s">
        <v>16</v>
      </c>
      <c r="G176" s="7">
        <v>45827</v>
      </c>
      <c r="H176" s="7">
        <v>45827</v>
      </c>
      <c r="I176" s="5" t="s">
        <v>108</v>
      </c>
      <c r="J176" s="4" cm="1">
        <f t="array" ref="J17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76" s="5" t="str">
        <f>IF(Table1[[#This Row],[Unit''s Leave Quota]]&lt;=6, "Approved", "Quota Exceeded")</f>
        <v>Approved</v>
      </c>
      <c r="L176" s="5"/>
      <c r="M176" t="s">
        <v>223</v>
      </c>
    </row>
    <row r="177" spans="1:13" hidden="1" x14ac:dyDescent="0.3">
      <c r="A177" s="6">
        <v>45828</v>
      </c>
      <c r="B177" t="s">
        <v>12</v>
      </c>
      <c r="C177" t="s">
        <v>161</v>
      </c>
      <c r="D177" t="s">
        <v>224</v>
      </c>
      <c r="E177" s="5" t="s">
        <v>225</v>
      </c>
      <c r="F177" s="5" t="s">
        <v>16</v>
      </c>
      <c r="G177" s="7">
        <v>45915</v>
      </c>
      <c r="H177" s="7">
        <v>45917</v>
      </c>
      <c r="I177" s="5" t="s">
        <v>81</v>
      </c>
      <c r="J177" s="4" cm="1">
        <f t="array" ref="J17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77" s="5" t="str">
        <f>IF(Table1[[#This Row],[Unit''s Leave Quota]]&lt;=6, "Approved", "Quota Exceeded")</f>
        <v>Approved</v>
      </c>
      <c r="L177" s="5"/>
      <c r="M177" t="s">
        <v>226</v>
      </c>
    </row>
    <row r="178" spans="1:13" hidden="1" x14ac:dyDescent="0.3">
      <c r="A178" s="6">
        <v>45828</v>
      </c>
      <c r="B178" t="s">
        <v>12</v>
      </c>
      <c r="C178" t="s">
        <v>50</v>
      </c>
      <c r="D178" t="s">
        <v>59</v>
      </c>
      <c r="E178" s="5" t="s">
        <v>227</v>
      </c>
      <c r="F178" s="5" t="s">
        <v>16</v>
      </c>
      <c r="G178" s="7">
        <v>45949</v>
      </c>
      <c r="H178" s="7">
        <v>45958</v>
      </c>
      <c r="I178" s="5" t="s">
        <v>165</v>
      </c>
      <c r="J178" s="4" cm="1">
        <f t="array" ref="J17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78" s="5" t="str">
        <f>IF(Table1[[#This Row],[Unit''s Leave Quota]]&lt;=6, "Approved", "Quota Exceeded")</f>
        <v>Approved</v>
      </c>
      <c r="L178" s="5"/>
      <c r="M178" t="s">
        <v>152</v>
      </c>
    </row>
    <row r="179" spans="1:13" hidden="1" x14ac:dyDescent="0.3">
      <c r="A179" s="6">
        <v>45830</v>
      </c>
      <c r="B179" t="s">
        <v>12</v>
      </c>
      <c r="C179" t="s">
        <v>195</v>
      </c>
      <c r="D179" t="s">
        <v>228</v>
      </c>
      <c r="E179" s="5" t="s">
        <v>150</v>
      </c>
      <c r="F179" s="5" t="s">
        <v>16</v>
      </c>
      <c r="G179" s="7">
        <v>45832</v>
      </c>
      <c r="H179" s="7">
        <v>45832</v>
      </c>
      <c r="I179" s="5" t="s">
        <v>30</v>
      </c>
      <c r="J179" s="4" cm="1">
        <f t="array" ref="J17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179" s="5" t="str">
        <f>IF(Table1[[#This Row],[Unit''s Leave Quota]]&lt;=6, "Approved", "Quota Exceeded")</f>
        <v>Approved</v>
      </c>
      <c r="L179" s="5"/>
      <c r="M179" t="s">
        <v>203</v>
      </c>
    </row>
    <row r="180" spans="1:13" hidden="1" x14ac:dyDescent="0.3">
      <c r="A180" s="6">
        <v>45832</v>
      </c>
      <c r="B180" t="s">
        <v>12</v>
      </c>
      <c r="C180" t="s">
        <v>13</v>
      </c>
      <c r="D180" t="s">
        <v>84</v>
      </c>
      <c r="E180" s="5" t="s">
        <v>77</v>
      </c>
      <c r="F180" s="5" t="s">
        <v>16</v>
      </c>
      <c r="G180" s="7">
        <v>45869</v>
      </c>
      <c r="H180" s="7">
        <v>45874</v>
      </c>
      <c r="I180" s="5" t="s">
        <v>108</v>
      </c>
      <c r="J180" s="4" cm="1">
        <f t="array" ref="J18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80" s="5" t="str">
        <f>IF(Table1[[#This Row],[Unit''s Leave Quota]]&lt;=6, "Approved", "Quota Exceeded")</f>
        <v>Approved</v>
      </c>
      <c r="L180" s="5"/>
      <c r="M180" t="s">
        <v>155</v>
      </c>
    </row>
    <row r="181" spans="1:13" hidden="1" x14ac:dyDescent="0.3">
      <c r="A181" s="6">
        <v>45833</v>
      </c>
      <c r="B181" t="s">
        <v>12</v>
      </c>
      <c r="C181" t="s">
        <v>50</v>
      </c>
      <c r="D181" t="s">
        <v>132</v>
      </c>
      <c r="E181" s="5" t="s">
        <v>77</v>
      </c>
      <c r="F181" s="5" t="s">
        <v>16</v>
      </c>
      <c r="G181" s="7">
        <v>45834</v>
      </c>
      <c r="H181" s="7">
        <v>45834</v>
      </c>
      <c r="I181" s="5" t="s">
        <v>108</v>
      </c>
      <c r="J181" s="4" cm="1">
        <f t="array" ref="J18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81" s="5" t="str">
        <f>IF(Table1[[#This Row],[Unit''s Leave Quota]]&lt;=6, "Approved", "Quota Exceeded")</f>
        <v>Approved</v>
      </c>
      <c r="L181" s="5"/>
      <c r="M181" t="s">
        <v>159</v>
      </c>
    </row>
    <row r="182" spans="1:13" hidden="1" x14ac:dyDescent="0.3">
      <c r="A182" s="6">
        <v>45834</v>
      </c>
      <c r="B182" t="s">
        <v>12</v>
      </c>
      <c r="C182" t="s">
        <v>55</v>
      </c>
      <c r="D182" t="s">
        <v>220</v>
      </c>
      <c r="E182" s="5" t="s">
        <v>150</v>
      </c>
      <c r="F182" s="5" t="s">
        <v>16</v>
      </c>
      <c r="G182" s="7">
        <v>45872</v>
      </c>
      <c r="H182" s="7">
        <v>45875</v>
      </c>
      <c r="I182" s="5" t="s">
        <v>165</v>
      </c>
      <c r="J182" s="4" cm="1">
        <f t="array" ref="J18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82" s="5" t="str">
        <f>IF(Table1[[#This Row],[Unit''s Leave Quota]]&lt;=6, "Approved", "Quota Exceeded")</f>
        <v>Approved</v>
      </c>
      <c r="L182" s="5"/>
      <c r="M182" t="s">
        <v>152</v>
      </c>
    </row>
    <row r="183" spans="1:13" hidden="1" x14ac:dyDescent="0.3">
      <c r="A183" s="6">
        <v>45834</v>
      </c>
      <c r="B183" t="s">
        <v>12</v>
      </c>
      <c r="C183" t="s">
        <v>22</v>
      </c>
      <c r="D183" t="s">
        <v>180</v>
      </c>
      <c r="E183" s="5" t="s">
        <v>15</v>
      </c>
      <c r="F183" s="5" t="s">
        <v>16</v>
      </c>
      <c r="G183" s="7">
        <v>45926</v>
      </c>
      <c r="H183" s="7">
        <v>45929</v>
      </c>
      <c r="I183" s="5" t="s">
        <v>160</v>
      </c>
      <c r="J183" s="4" cm="1">
        <f t="array" ref="J18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83" s="5" t="str">
        <f>IF(Table1[[#This Row],[Unit''s Leave Quota]]&lt;=6, "Approved", "Quota Exceeded")</f>
        <v>Approved</v>
      </c>
      <c r="L183" s="5"/>
      <c r="M183" t="s">
        <v>152</v>
      </c>
    </row>
    <row r="184" spans="1:13" hidden="1" x14ac:dyDescent="0.3">
      <c r="A184" s="6">
        <v>45838</v>
      </c>
      <c r="B184" t="s">
        <v>12</v>
      </c>
      <c r="C184" t="s">
        <v>173</v>
      </c>
      <c r="D184" t="s">
        <v>202</v>
      </c>
      <c r="E184" s="5" t="s">
        <v>150</v>
      </c>
      <c r="F184" s="5" t="s">
        <v>16</v>
      </c>
      <c r="G184" s="7">
        <v>45838</v>
      </c>
      <c r="H184" s="7">
        <v>45838</v>
      </c>
      <c r="I184" s="5" t="s">
        <v>30</v>
      </c>
      <c r="J184" s="4" cm="1">
        <f t="array" ref="J18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184" s="5" t="str">
        <f>IF(Table1[[#This Row],[Unit''s Leave Quota]]&lt;=6, "Approved", "Quota Exceeded")</f>
        <v>Approved</v>
      </c>
      <c r="L184" s="5"/>
      <c r="M184" t="s">
        <v>216</v>
      </c>
    </row>
    <row r="185" spans="1:13" hidden="1" x14ac:dyDescent="0.3">
      <c r="A185" s="6">
        <v>45838</v>
      </c>
      <c r="B185" t="s">
        <v>12</v>
      </c>
      <c r="C185" t="s">
        <v>221</v>
      </c>
      <c r="D185" t="s">
        <v>132</v>
      </c>
      <c r="E185" s="5" t="s">
        <v>187</v>
      </c>
      <c r="F185" s="5" t="s">
        <v>16</v>
      </c>
      <c r="G185" s="7">
        <v>45839</v>
      </c>
      <c r="H185" s="7">
        <v>45839</v>
      </c>
      <c r="I185" s="5" t="s">
        <v>108</v>
      </c>
      <c r="J185" s="4" cm="1">
        <f t="array" ref="J18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85" s="5" t="str">
        <f>IF(Table1[[#This Row],[Unit''s Leave Quota]]&lt;=6, "Approved", "Quota Exceeded")</f>
        <v>Approved</v>
      </c>
      <c r="L185" s="5"/>
      <c r="M185" t="s">
        <v>155</v>
      </c>
    </row>
    <row r="186" spans="1:13" hidden="1" x14ac:dyDescent="0.3">
      <c r="A186" s="6">
        <v>45839</v>
      </c>
      <c r="B186" t="s">
        <v>12</v>
      </c>
      <c r="C186" t="s">
        <v>173</v>
      </c>
      <c r="D186" t="s">
        <v>134</v>
      </c>
      <c r="E186" s="5" t="s">
        <v>229</v>
      </c>
      <c r="F186" s="5" t="s">
        <v>16</v>
      </c>
      <c r="G186" s="7">
        <v>45856</v>
      </c>
      <c r="H186" s="7">
        <v>45859</v>
      </c>
      <c r="I186" s="5" t="s">
        <v>44</v>
      </c>
      <c r="J186" s="4" cm="1">
        <f t="array" ref="J18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86" s="5" t="str">
        <f>IF(Table1[[#This Row],[Unit''s Leave Quota]]&lt;=6, "Approved", "Quota Exceeded")</f>
        <v>Approved</v>
      </c>
      <c r="L186" s="5"/>
      <c r="M186" t="s">
        <v>155</v>
      </c>
    </row>
    <row r="187" spans="1:13" hidden="1" x14ac:dyDescent="0.3">
      <c r="A187" s="6">
        <v>45840</v>
      </c>
      <c r="B187" t="s">
        <v>12</v>
      </c>
      <c r="C187" t="s">
        <v>230</v>
      </c>
      <c r="D187" t="s">
        <v>231</v>
      </c>
      <c r="E187" s="5" t="s">
        <v>80</v>
      </c>
      <c r="F187" s="5" t="s">
        <v>16</v>
      </c>
      <c r="G187" s="7">
        <v>45847</v>
      </c>
      <c r="H187" s="7">
        <v>45848</v>
      </c>
      <c r="I187" s="5" t="s">
        <v>81</v>
      </c>
      <c r="J187" s="4" cm="1">
        <f t="array" ref="J18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87" s="5" t="str">
        <f>IF(Table1[[#This Row],[Unit''s Leave Quota]]&lt;=6, "Approved", "Quota Exceeded")</f>
        <v>Approved</v>
      </c>
      <c r="L187" s="5"/>
      <c r="M187" t="s">
        <v>232</v>
      </c>
    </row>
    <row r="188" spans="1:13" hidden="1" x14ac:dyDescent="0.3">
      <c r="A188" s="6">
        <v>45840</v>
      </c>
      <c r="B188" t="s">
        <v>12</v>
      </c>
      <c r="C188" t="s">
        <v>13</v>
      </c>
      <c r="D188" t="s">
        <v>84</v>
      </c>
      <c r="E188" s="5" t="s">
        <v>233</v>
      </c>
      <c r="F188" s="5" t="s">
        <v>16</v>
      </c>
      <c r="G188" s="7">
        <v>45966</v>
      </c>
      <c r="H188" s="7">
        <v>45973</v>
      </c>
      <c r="I188" s="5" t="s">
        <v>108</v>
      </c>
      <c r="J188" s="4" cm="1">
        <f t="array" ref="J18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188" s="5" t="str">
        <f>IF(Table1[[#This Row],[Unit''s Leave Quota]]&lt;=6, "Approved", "Quota Exceeded")</f>
        <v>Approved</v>
      </c>
      <c r="L188" s="5"/>
      <c r="M188" t="s">
        <v>155</v>
      </c>
    </row>
    <row r="189" spans="1:13" hidden="1" x14ac:dyDescent="0.3">
      <c r="A189" s="6">
        <v>45840</v>
      </c>
      <c r="B189" t="s">
        <v>12</v>
      </c>
      <c r="C189" t="s">
        <v>13</v>
      </c>
      <c r="D189" t="s">
        <v>84</v>
      </c>
      <c r="E189" s="5" t="s">
        <v>187</v>
      </c>
      <c r="F189" s="5" t="s">
        <v>16</v>
      </c>
      <c r="G189" s="7">
        <v>45974</v>
      </c>
      <c r="H189" s="7">
        <v>45975</v>
      </c>
      <c r="I189" s="5" t="s">
        <v>108</v>
      </c>
      <c r="J189" s="4" cm="1">
        <f t="array" ref="J18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189" s="5" t="str">
        <f>IF(Table1[[#This Row],[Unit''s Leave Quota]]&lt;=6, "Approved", "Quota Exceeded")</f>
        <v>Approved</v>
      </c>
      <c r="L189" s="5"/>
      <c r="M189" t="s">
        <v>155</v>
      </c>
    </row>
    <row r="190" spans="1:13" hidden="1" x14ac:dyDescent="0.3">
      <c r="A190" s="6">
        <v>45842</v>
      </c>
      <c r="B190" t="s">
        <v>12</v>
      </c>
      <c r="C190" t="s">
        <v>22</v>
      </c>
      <c r="D190" t="s">
        <v>59</v>
      </c>
      <c r="E190" s="5" t="s">
        <v>150</v>
      </c>
      <c r="F190" s="5" t="s">
        <v>16</v>
      </c>
      <c r="G190" s="7">
        <v>45842</v>
      </c>
      <c r="H190" s="7">
        <v>45842</v>
      </c>
      <c r="I190" s="5" t="s">
        <v>165</v>
      </c>
      <c r="J190" s="4" cm="1">
        <f t="array" ref="J19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190" s="5" t="str">
        <f>IF(Table1[[#This Row],[Unit''s Leave Quota]]&lt;=6, "Approved", "Quota Exceeded")</f>
        <v>Approved</v>
      </c>
      <c r="L190" s="5"/>
      <c r="M190" t="s">
        <v>152</v>
      </c>
    </row>
    <row r="191" spans="1:13" hidden="1" x14ac:dyDescent="0.3">
      <c r="A191" s="6">
        <v>45844</v>
      </c>
      <c r="B191" t="s">
        <v>12</v>
      </c>
      <c r="C191" t="s">
        <v>55</v>
      </c>
      <c r="D191" t="s">
        <v>220</v>
      </c>
      <c r="E191" s="5" t="s">
        <v>150</v>
      </c>
      <c r="F191" s="5" t="s">
        <v>16</v>
      </c>
      <c r="G191" s="7">
        <v>45844</v>
      </c>
      <c r="H191" s="7">
        <v>45844</v>
      </c>
      <c r="I191" s="5" t="s">
        <v>165</v>
      </c>
      <c r="J191" s="4" cm="1">
        <f t="array" ref="J19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191" s="5" t="str">
        <f>IF(Table1[[#This Row],[Unit''s Leave Quota]]&lt;=6, "Approved", "Quota Exceeded")</f>
        <v>Approved</v>
      </c>
      <c r="L191" s="5"/>
      <c r="M191" t="s">
        <v>152</v>
      </c>
    </row>
    <row r="192" spans="1:13" hidden="1" x14ac:dyDescent="0.3">
      <c r="A192" s="6">
        <v>45844</v>
      </c>
      <c r="B192" t="s">
        <v>12</v>
      </c>
      <c r="C192" t="s">
        <v>13</v>
      </c>
      <c r="D192" t="s">
        <v>84</v>
      </c>
      <c r="E192" s="5" t="s">
        <v>77</v>
      </c>
      <c r="F192" s="5" t="s">
        <v>16</v>
      </c>
      <c r="G192" s="7">
        <v>45850</v>
      </c>
      <c r="H192" s="7">
        <v>45851</v>
      </c>
      <c r="I192" s="5" t="s">
        <v>108</v>
      </c>
      <c r="J192" s="4" cm="1">
        <f t="array" ref="J19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92" s="5" t="str">
        <f>IF(Table1[[#This Row],[Unit''s Leave Quota]]&lt;=6, "Approved", "Quota Exceeded")</f>
        <v>Approved</v>
      </c>
      <c r="L192" s="5"/>
      <c r="M192" t="s">
        <v>155</v>
      </c>
    </row>
    <row r="193" spans="1:13" hidden="1" x14ac:dyDescent="0.3">
      <c r="A193" s="6">
        <v>45845</v>
      </c>
      <c r="B193" t="s">
        <v>12</v>
      </c>
      <c r="C193" t="s">
        <v>22</v>
      </c>
      <c r="D193" t="s">
        <v>51</v>
      </c>
      <c r="E193" s="5" t="s">
        <v>187</v>
      </c>
      <c r="F193" s="5" t="s">
        <v>16</v>
      </c>
      <c r="G193" s="7">
        <v>45847</v>
      </c>
      <c r="H193" s="7">
        <v>45849</v>
      </c>
      <c r="I193" s="5" t="s">
        <v>160</v>
      </c>
      <c r="J193" s="4" cm="1">
        <f t="array" ref="J19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93" s="5" t="str">
        <f>IF(Table1[[#This Row],[Unit''s Leave Quota]]&lt;=6, "Approved", "Quota Exceeded")</f>
        <v>Approved</v>
      </c>
      <c r="L193" s="5"/>
      <c r="M193" t="s">
        <v>234</v>
      </c>
    </row>
    <row r="194" spans="1:13" hidden="1" x14ac:dyDescent="0.3">
      <c r="A194" s="6">
        <v>45853</v>
      </c>
      <c r="B194" t="s">
        <v>12</v>
      </c>
      <c r="C194" t="s">
        <v>22</v>
      </c>
      <c r="D194" t="s">
        <v>73</v>
      </c>
      <c r="E194" s="5" t="s">
        <v>235</v>
      </c>
      <c r="F194" s="5" t="s">
        <v>16</v>
      </c>
      <c r="G194" s="7">
        <v>45939</v>
      </c>
      <c r="H194" s="7">
        <v>45946</v>
      </c>
      <c r="I194" s="5" t="s">
        <v>160</v>
      </c>
      <c r="J194" s="4" cm="1">
        <f t="array" ref="J19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194" s="5" t="str">
        <f>IF(Table1[[#This Row],[Unit''s Leave Quota]]&lt;=6, "Approved", "Quota Exceeded")</f>
        <v>Approved</v>
      </c>
      <c r="L194" s="5"/>
      <c r="M194" t="s">
        <v>152</v>
      </c>
    </row>
    <row r="195" spans="1:13" hidden="1" x14ac:dyDescent="0.3">
      <c r="A195" s="6">
        <v>45854</v>
      </c>
      <c r="B195" t="s">
        <v>12</v>
      </c>
      <c r="C195" t="s">
        <v>173</v>
      </c>
      <c r="D195" t="s">
        <v>196</v>
      </c>
      <c r="E195" s="5" t="s">
        <v>150</v>
      </c>
      <c r="F195" s="5" t="s">
        <v>16</v>
      </c>
      <c r="G195" s="7">
        <v>45855</v>
      </c>
      <c r="H195" s="7">
        <v>45855</v>
      </c>
      <c r="I195" s="5" t="s">
        <v>30</v>
      </c>
      <c r="J195" s="4" cm="1">
        <f t="array" ref="J19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195" s="5" t="str">
        <f>IF(Table1[[#This Row],[Unit''s Leave Quota]]&lt;=6, "Approved", "Quota Exceeded")</f>
        <v>Approved</v>
      </c>
      <c r="L195" s="5"/>
      <c r="M195" t="s">
        <v>236</v>
      </c>
    </row>
    <row r="196" spans="1:13" hidden="1" x14ac:dyDescent="0.3">
      <c r="A196" s="6">
        <v>45855</v>
      </c>
      <c r="B196" t="s">
        <v>12</v>
      </c>
      <c r="C196" t="s">
        <v>210</v>
      </c>
      <c r="D196" t="s">
        <v>170</v>
      </c>
      <c r="E196" s="5" t="s">
        <v>77</v>
      </c>
      <c r="F196" s="5" t="s">
        <v>16</v>
      </c>
      <c r="G196" s="7">
        <v>45858</v>
      </c>
      <c r="H196" s="7">
        <v>45858</v>
      </c>
      <c r="I196" s="5" t="s">
        <v>212</v>
      </c>
      <c r="J196" s="4" cm="1">
        <f t="array" ref="J19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96" s="5" t="str">
        <f>IF(Table1[[#This Row],[Unit''s Leave Quota]]&lt;=6, "Approved", "Quota Exceeded")</f>
        <v>Approved</v>
      </c>
      <c r="L196" s="5"/>
      <c r="M196" t="s">
        <v>182</v>
      </c>
    </row>
    <row r="197" spans="1:13" hidden="1" x14ac:dyDescent="0.3">
      <c r="A197" s="6">
        <v>45855</v>
      </c>
      <c r="B197" t="s">
        <v>12</v>
      </c>
      <c r="C197" t="s">
        <v>13</v>
      </c>
      <c r="D197" t="s">
        <v>237</v>
      </c>
      <c r="E197" s="5" t="s">
        <v>66</v>
      </c>
      <c r="F197" s="5" t="s">
        <v>16</v>
      </c>
      <c r="G197" s="7">
        <v>45884</v>
      </c>
      <c r="H197" s="7">
        <v>45887</v>
      </c>
      <c r="I197" s="5" t="s">
        <v>81</v>
      </c>
      <c r="J197" s="4" cm="1">
        <f t="array" ref="J19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197" s="5" t="str">
        <f>IF(Table1[[#This Row],[Unit''s Leave Quota]]&lt;=6, "Approved", "Quota Exceeded")</f>
        <v>Approved</v>
      </c>
      <c r="L197" s="5"/>
      <c r="M197" t="s">
        <v>168</v>
      </c>
    </row>
    <row r="198" spans="1:13" hidden="1" x14ac:dyDescent="0.3">
      <c r="A198" s="6">
        <v>45857</v>
      </c>
      <c r="B198" t="s">
        <v>12</v>
      </c>
      <c r="C198" t="s">
        <v>22</v>
      </c>
      <c r="D198" t="s">
        <v>140</v>
      </c>
      <c r="E198" s="5" t="s">
        <v>150</v>
      </c>
      <c r="F198" s="5" t="s">
        <v>16</v>
      </c>
      <c r="G198" s="7">
        <v>45857</v>
      </c>
      <c r="H198" s="7">
        <v>45857</v>
      </c>
      <c r="I198" s="5" t="s">
        <v>165</v>
      </c>
      <c r="J198" s="4" cm="1">
        <f t="array" ref="J19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98" s="5" t="str">
        <f>IF(Table1[[#This Row],[Unit''s Leave Quota]]&lt;=6, "Approved", "Quota Exceeded")</f>
        <v>Approved</v>
      </c>
      <c r="L198" s="5"/>
      <c r="M198" t="s">
        <v>152</v>
      </c>
    </row>
    <row r="199" spans="1:13" hidden="1" x14ac:dyDescent="0.3">
      <c r="A199" s="6">
        <v>45857</v>
      </c>
      <c r="B199" t="s">
        <v>12</v>
      </c>
      <c r="C199" t="s">
        <v>13</v>
      </c>
      <c r="D199" t="s">
        <v>238</v>
      </c>
      <c r="E199" s="5" t="s">
        <v>77</v>
      </c>
      <c r="F199" s="5" t="s">
        <v>16</v>
      </c>
      <c r="G199" s="7">
        <v>45857</v>
      </c>
      <c r="H199" s="7">
        <v>45858</v>
      </c>
      <c r="I199" s="5" t="s">
        <v>108</v>
      </c>
      <c r="J199" s="4" cm="1">
        <f t="array" ref="J19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199" s="5" t="str">
        <f>IF(Table1[[#This Row],[Unit''s Leave Quota]]&lt;=6, "Approved", "Quota Exceeded")</f>
        <v>Approved</v>
      </c>
      <c r="L199" s="5"/>
      <c r="M199" t="s">
        <v>155</v>
      </c>
    </row>
    <row r="200" spans="1:13" hidden="1" x14ac:dyDescent="0.3">
      <c r="A200" s="6">
        <v>45858</v>
      </c>
      <c r="B200" t="s">
        <v>12</v>
      </c>
      <c r="C200" t="s">
        <v>161</v>
      </c>
      <c r="D200" t="s">
        <v>91</v>
      </c>
      <c r="E200" s="5" t="s">
        <v>80</v>
      </c>
      <c r="F200" s="5" t="s">
        <v>16</v>
      </c>
      <c r="G200" s="7">
        <v>46009</v>
      </c>
      <c r="H200" s="7">
        <v>46013</v>
      </c>
      <c r="I200" s="5" t="s">
        <v>239</v>
      </c>
      <c r="J200" s="4" cm="1">
        <f t="array" ref="J20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7</v>
      </c>
      <c r="K200" s="5" t="str">
        <f>IF(Table1[[#This Row],[Unit''s Leave Quota]]&lt;=6, "Approved", "Quota Exceeded")</f>
        <v>Quota Exceeded</v>
      </c>
      <c r="L200" s="5"/>
      <c r="M200" t="s">
        <v>240</v>
      </c>
    </row>
    <row r="201" spans="1:13" hidden="1" x14ac:dyDescent="0.3">
      <c r="A201" s="6">
        <v>45860</v>
      </c>
      <c r="B201" t="s">
        <v>12</v>
      </c>
      <c r="C201" t="s">
        <v>173</v>
      </c>
      <c r="D201" t="s">
        <v>202</v>
      </c>
      <c r="E201" s="5" t="s">
        <v>150</v>
      </c>
      <c r="F201" s="5" t="s">
        <v>16</v>
      </c>
      <c r="G201" s="7">
        <v>45861</v>
      </c>
      <c r="H201" s="7">
        <v>45861</v>
      </c>
      <c r="I201" s="5" t="s">
        <v>30</v>
      </c>
      <c r="J201" s="4" cm="1">
        <f t="array" ref="J20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01" s="5" t="str">
        <f>IF(Table1[[#This Row],[Unit''s Leave Quota]]&lt;=6, "Approved", "Quota Exceeded")</f>
        <v>Approved</v>
      </c>
      <c r="L201" s="5"/>
      <c r="M201" t="s">
        <v>216</v>
      </c>
    </row>
    <row r="202" spans="1:13" hidden="1" x14ac:dyDescent="0.3">
      <c r="A202" s="6">
        <v>45860</v>
      </c>
      <c r="B202" t="s">
        <v>12</v>
      </c>
      <c r="C202" t="s">
        <v>22</v>
      </c>
      <c r="D202" t="s">
        <v>140</v>
      </c>
      <c r="E202" s="5" t="s">
        <v>150</v>
      </c>
      <c r="F202" s="5" t="s">
        <v>16</v>
      </c>
      <c r="G202" s="7">
        <v>45863</v>
      </c>
      <c r="H202" s="7">
        <v>45863</v>
      </c>
      <c r="I202" s="5" t="s">
        <v>165</v>
      </c>
      <c r="J202" s="4" cm="1">
        <f t="array" ref="J20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02" s="5" t="str">
        <f>IF(Table1[[#This Row],[Unit''s Leave Quota]]&lt;=6, "Approved", "Quota Exceeded")</f>
        <v>Approved</v>
      </c>
      <c r="L202" s="5"/>
      <c r="M202" t="s">
        <v>152</v>
      </c>
    </row>
    <row r="203" spans="1:13" hidden="1" x14ac:dyDescent="0.3">
      <c r="A203" s="6">
        <v>45862</v>
      </c>
      <c r="B203" t="s">
        <v>12</v>
      </c>
      <c r="C203" t="s">
        <v>120</v>
      </c>
      <c r="D203" t="s">
        <v>108</v>
      </c>
      <c r="E203" s="5" t="s">
        <v>77</v>
      </c>
      <c r="F203" s="5" t="s">
        <v>16</v>
      </c>
      <c r="G203" s="7">
        <v>45862</v>
      </c>
      <c r="H203" s="7">
        <v>45862</v>
      </c>
      <c r="I203" s="5" t="s">
        <v>241</v>
      </c>
      <c r="J203" s="4" cm="1">
        <f t="array" ref="J20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03" s="5" t="str">
        <f>IF(Table1[[#This Row],[Unit''s Leave Quota]]&lt;=6, "Approved", "Quota Exceeded")</f>
        <v>Approved</v>
      </c>
      <c r="L203" s="5"/>
      <c r="M203" t="s">
        <v>155</v>
      </c>
    </row>
    <row r="204" spans="1:13" hidden="1" x14ac:dyDescent="0.3">
      <c r="A204" s="6">
        <v>45863</v>
      </c>
      <c r="B204" t="s">
        <v>12</v>
      </c>
      <c r="C204" t="s">
        <v>13</v>
      </c>
      <c r="D204" t="s">
        <v>84</v>
      </c>
      <c r="E204" s="5" t="s">
        <v>187</v>
      </c>
      <c r="F204" s="5" t="s">
        <v>16</v>
      </c>
      <c r="G204" s="7">
        <v>45885</v>
      </c>
      <c r="H204" s="7">
        <v>45886</v>
      </c>
      <c r="I204" s="5" t="s">
        <v>108</v>
      </c>
      <c r="J204" s="4" cm="1">
        <f t="array" ref="J20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204" s="5" t="str">
        <f>IF(Table1[[#This Row],[Unit''s Leave Quota]]&lt;=6, "Approved", "Quota Exceeded")</f>
        <v>Approved</v>
      </c>
      <c r="L204" s="5"/>
      <c r="M204" t="s">
        <v>155</v>
      </c>
    </row>
    <row r="205" spans="1:13" s="14" customFormat="1" hidden="1" x14ac:dyDescent="0.3">
      <c r="A205" s="6">
        <v>45864</v>
      </c>
      <c r="B205" t="s">
        <v>12</v>
      </c>
      <c r="C205" t="s">
        <v>55</v>
      </c>
      <c r="D205" t="s">
        <v>220</v>
      </c>
      <c r="E205" s="5" t="s">
        <v>150</v>
      </c>
      <c r="F205" s="5" t="s">
        <v>16</v>
      </c>
      <c r="G205" s="7">
        <v>45864</v>
      </c>
      <c r="H205" s="7">
        <v>45864</v>
      </c>
      <c r="I205" s="5" t="s">
        <v>165</v>
      </c>
      <c r="J205" s="4" cm="1">
        <f t="array" ref="J20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05" s="5" t="str">
        <f>IF(Table1[[#This Row],[Unit''s Leave Quota]]&lt;=6, "Approved", "Quota Exceeded")</f>
        <v>Approved</v>
      </c>
      <c r="L205" s="5"/>
      <c r="M205" t="s">
        <v>152</v>
      </c>
    </row>
    <row r="206" spans="1:13" hidden="1" x14ac:dyDescent="0.3">
      <c r="A206" s="6">
        <v>45864</v>
      </c>
      <c r="B206" t="s">
        <v>12</v>
      </c>
      <c r="C206" t="s">
        <v>242</v>
      </c>
      <c r="D206" t="s">
        <v>239</v>
      </c>
      <c r="E206" s="5" t="s">
        <v>243</v>
      </c>
      <c r="F206" s="5" t="s">
        <v>16</v>
      </c>
      <c r="G206" s="7">
        <v>45966</v>
      </c>
      <c r="H206" s="7">
        <v>45973</v>
      </c>
      <c r="I206" s="5" t="s">
        <v>244</v>
      </c>
      <c r="J206" s="4" cm="1">
        <f t="array" ref="J20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206" s="5" t="str">
        <f>IF(Table1[[#This Row],[Unit''s Leave Quota]]&lt;=6, "Approved", "Quota Exceeded")</f>
        <v>Approved</v>
      </c>
      <c r="L206" s="5"/>
      <c r="M206" t="s">
        <v>152</v>
      </c>
    </row>
    <row r="207" spans="1:13" hidden="1" x14ac:dyDescent="0.3">
      <c r="A207" s="6">
        <v>45865</v>
      </c>
      <c r="B207" t="s">
        <v>12</v>
      </c>
      <c r="C207" t="s">
        <v>173</v>
      </c>
      <c r="D207" t="s">
        <v>188</v>
      </c>
      <c r="E207" s="5" t="s">
        <v>150</v>
      </c>
      <c r="F207" s="5" t="s">
        <v>16</v>
      </c>
      <c r="G207" s="7">
        <v>45866</v>
      </c>
      <c r="H207" s="7">
        <v>45867</v>
      </c>
      <c r="I207" s="5" t="s">
        <v>30</v>
      </c>
      <c r="J207" s="4" cm="1">
        <f t="array" ref="J20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207" s="5" t="str">
        <f>IF(Table1[[#This Row],[Unit''s Leave Quota]]&lt;=6, "Approved", "Quota Exceeded")</f>
        <v>Approved</v>
      </c>
      <c r="L207" s="5"/>
      <c r="M207" t="s">
        <v>168</v>
      </c>
    </row>
    <row r="208" spans="1:13" hidden="1" x14ac:dyDescent="0.3">
      <c r="A208" s="6">
        <v>45866</v>
      </c>
      <c r="B208" t="s">
        <v>12</v>
      </c>
      <c r="C208" t="s">
        <v>22</v>
      </c>
      <c r="D208" t="s">
        <v>73</v>
      </c>
      <c r="E208" s="5" t="s">
        <v>57</v>
      </c>
      <c r="F208" s="5" t="s">
        <v>16</v>
      </c>
      <c r="G208" s="7">
        <v>45898</v>
      </c>
      <c r="H208" s="7">
        <v>45900</v>
      </c>
      <c r="I208" s="5" t="s">
        <v>160</v>
      </c>
      <c r="J208" s="4" cm="1">
        <f t="array" ref="J20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08" s="5" t="str">
        <f>IF(Table1[[#This Row],[Unit''s Leave Quota]]&lt;=6, "Approved", "Quota Exceeded")</f>
        <v>Approved</v>
      </c>
      <c r="L208" s="5"/>
      <c r="M208" t="s">
        <v>182</v>
      </c>
    </row>
    <row r="209" spans="1:13" hidden="1" x14ac:dyDescent="0.3">
      <c r="A209" s="6">
        <v>45868</v>
      </c>
      <c r="B209" t="s">
        <v>12</v>
      </c>
      <c r="C209" t="s">
        <v>13</v>
      </c>
      <c r="D209" t="s">
        <v>245</v>
      </c>
      <c r="E209" s="5" t="s">
        <v>246</v>
      </c>
      <c r="F209" s="5" t="s">
        <v>16</v>
      </c>
      <c r="G209" s="7">
        <v>45868</v>
      </c>
      <c r="H209" s="7">
        <v>45869</v>
      </c>
      <c r="I209" s="5" t="s">
        <v>199</v>
      </c>
      <c r="J209" s="4" cm="1">
        <f t="array" ref="J20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209" s="5" t="str">
        <f>IF(Table1[[#This Row],[Unit''s Leave Quota]]&lt;=6, "Approved", "Quota Exceeded")</f>
        <v>Approved</v>
      </c>
      <c r="L209" s="5"/>
      <c r="M209" t="s">
        <v>152</v>
      </c>
    </row>
    <row r="210" spans="1:13" hidden="1" x14ac:dyDescent="0.3">
      <c r="A210" s="6">
        <v>45868</v>
      </c>
      <c r="B210" t="s">
        <v>12</v>
      </c>
      <c r="C210" t="s">
        <v>161</v>
      </c>
      <c r="D210" t="s">
        <v>92</v>
      </c>
      <c r="E210" s="5" t="s">
        <v>247</v>
      </c>
      <c r="F210" s="5" t="s">
        <v>16</v>
      </c>
      <c r="G210" s="7">
        <v>46014</v>
      </c>
      <c r="H210" s="7">
        <v>46021</v>
      </c>
      <c r="I210" s="5" t="s">
        <v>239</v>
      </c>
      <c r="J210" s="4" cm="1">
        <f t="array" ref="J21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10" s="5" t="str">
        <f>IF(Table1[[#This Row],[Unit''s Leave Quota]]&lt;=6, "Approved", "Quota Exceeded")</f>
        <v>Approved</v>
      </c>
      <c r="L210" s="5"/>
      <c r="M210" t="s">
        <v>248</v>
      </c>
    </row>
    <row r="211" spans="1:13" hidden="1" x14ac:dyDescent="0.3">
      <c r="A211" s="6">
        <v>45869</v>
      </c>
      <c r="B211" t="s">
        <v>12</v>
      </c>
      <c r="C211" t="s">
        <v>230</v>
      </c>
      <c r="D211" t="s">
        <v>204</v>
      </c>
      <c r="E211" s="5" t="s">
        <v>249</v>
      </c>
      <c r="F211" s="5" t="s">
        <v>16</v>
      </c>
      <c r="G211" s="7">
        <v>45915</v>
      </c>
      <c r="H211" s="7">
        <v>45918</v>
      </c>
      <c r="I211" s="5" t="s">
        <v>81</v>
      </c>
      <c r="J211" s="4" cm="1">
        <f t="array" ref="J21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11" s="5" t="str">
        <f>IF(Table1[[#This Row],[Unit''s Leave Quota]]&lt;=6, "Approved", "Quota Exceeded")</f>
        <v>Approved</v>
      </c>
      <c r="L211" s="5"/>
      <c r="M211" t="s">
        <v>250</v>
      </c>
    </row>
    <row r="212" spans="1:13" hidden="1" x14ac:dyDescent="0.3">
      <c r="A212" s="6">
        <v>45870</v>
      </c>
      <c r="B212" t="s">
        <v>12</v>
      </c>
      <c r="C212" t="s">
        <v>173</v>
      </c>
      <c r="D212" t="s">
        <v>188</v>
      </c>
      <c r="E212" s="5" t="s">
        <v>139</v>
      </c>
      <c r="F212" s="5" t="s">
        <v>16</v>
      </c>
      <c r="G212" s="7">
        <v>45873</v>
      </c>
      <c r="H212" s="7">
        <v>45873</v>
      </c>
      <c r="I212" s="5" t="s">
        <v>251</v>
      </c>
      <c r="J212" s="4" cm="1">
        <f t="array" ref="J21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12" s="5" t="str">
        <f>IF(Table1[[#This Row],[Unit''s Leave Quota]]&lt;=6, "Approved", "Quota Exceeded")</f>
        <v>Approved</v>
      </c>
      <c r="L212" s="5"/>
      <c r="M212" t="s">
        <v>203</v>
      </c>
    </row>
    <row r="213" spans="1:13" hidden="1" x14ac:dyDescent="0.3">
      <c r="A213" s="6">
        <v>45872</v>
      </c>
      <c r="B213" t="s">
        <v>12</v>
      </c>
      <c r="C213" t="s">
        <v>55</v>
      </c>
      <c r="D213" t="s">
        <v>79</v>
      </c>
      <c r="E213" s="5" t="s">
        <v>77</v>
      </c>
      <c r="F213" s="5" t="s">
        <v>16</v>
      </c>
      <c r="G213" s="7">
        <v>45873</v>
      </c>
      <c r="H213" s="7">
        <v>45873</v>
      </c>
      <c r="I213" s="5" t="s">
        <v>199</v>
      </c>
      <c r="J213" s="4" cm="1">
        <f t="array" ref="J21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13" s="5" t="str">
        <f>IF(Table1[[#This Row],[Unit''s Leave Quota]]&lt;=6, "Approved", "Quota Exceeded")</f>
        <v>Approved</v>
      </c>
      <c r="L213" s="5"/>
      <c r="M213" t="s">
        <v>207</v>
      </c>
    </row>
    <row r="214" spans="1:13" hidden="1" x14ac:dyDescent="0.3">
      <c r="A214" s="6">
        <v>45872</v>
      </c>
      <c r="B214" t="s">
        <v>12</v>
      </c>
      <c r="C214" t="s">
        <v>242</v>
      </c>
      <c r="D214" t="s">
        <v>239</v>
      </c>
      <c r="E214" s="5" t="s">
        <v>252</v>
      </c>
      <c r="F214" s="5" t="s">
        <v>16</v>
      </c>
      <c r="G214" s="7">
        <v>45910</v>
      </c>
      <c r="H214" s="7">
        <v>45914</v>
      </c>
      <c r="I214" s="5" t="s">
        <v>244</v>
      </c>
      <c r="J214" s="4" cm="1">
        <f t="array" ref="J21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14" s="5" t="str">
        <f>IF(Table1[[#This Row],[Unit''s Leave Quota]]&lt;=6, "Approved", "Quota Exceeded")</f>
        <v>Approved</v>
      </c>
      <c r="L214" s="5"/>
      <c r="M214" t="s">
        <v>152</v>
      </c>
    </row>
    <row r="215" spans="1:13" hidden="1" x14ac:dyDescent="0.3">
      <c r="A215" s="6">
        <v>45873</v>
      </c>
      <c r="B215" t="s">
        <v>12</v>
      </c>
      <c r="C215" t="s">
        <v>22</v>
      </c>
      <c r="D215" t="s">
        <v>73</v>
      </c>
      <c r="E215" s="5" t="s">
        <v>209</v>
      </c>
      <c r="F215" s="5" t="s">
        <v>16</v>
      </c>
      <c r="G215" s="7">
        <v>45915</v>
      </c>
      <c r="H215" s="7">
        <v>45918</v>
      </c>
      <c r="I215" s="5" t="s">
        <v>160</v>
      </c>
      <c r="J215" s="4" cm="1">
        <f t="array" ref="J21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15" s="5" t="str">
        <f>IF(Table1[[#This Row],[Unit''s Leave Quota]]&lt;=6, "Approved", "Quota Exceeded")</f>
        <v>Approved</v>
      </c>
      <c r="L215" s="5"/>
      <c r="M215" t="s">
        <v>155</v>
      </c>
    </row>
    <row r="216" spans="1:13" hidden="1" x14ac:dyDescent="0.3">
      <c r="A216" s="6">
        <v>45876</v>
      </c>
      <c r="B216" t="s">
        <v>12</v>
      </c>
      <c r="C216" t="s">
        <v>13</v>
      </c>
      <c r="D216" t="s">
        <v>62</v>
      </c>
      <c r="E216" s="5" t="s">
        <v>150</v>
      </c>
      <c r="F216" s="5" t="s">
        <v>16</v>
      </c>
      <c r="G216" s="7">
        <v>45876</v>
      </c>
      <c r="H216" s="7">
        <v>45877</v>
      </c>
      <c r="I216" s="5" t="s">
        <v>165</v>
      </c>
      <c r="J216" s="4" cm="1">
        <f t="array" ref="J21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216" s="5" t="str">
        <f>IF(Table1[[#This Row],[Unit''s Leave Quota]]&lt;=6, "Approved", "Quota Exceeded")</f>
        <v>Approved</v>
      </c>
      <c r="L216" s="5"/>
      <c r="M216" t="s">
        <v>152</v>
      </c>
    </row>
    <row r="217" spans="1:13" hidden="1" x14ac:dyDescent="0.3">
      <c r="A217" s="6">
        <v>45878</v>
      </c>
      <c r="B217" t="s">
        <v>12</v>
      </c>
      <c r="C217" t="s">
        <v>195</v>
      </c>
      <c r="D217" t="s">
        <v>188</v>
      </c>
      <c r="E217" s="5" t="s">
        <v>139</v>
      </c>
      <c r="F217" s="5" t="s">
        <v>16</v>
      </c>
      <c r="G217" s="7">
        <v>45878</v>
      </c>
      <c r="H217" s="7">
        <v>45878</v>
      </c>
      <c r="I217" s="5" t="s">
        <v>30</v>
      </c>
      <c r="J217" s="4" cm="1">
        <f t="array" ref="J21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217" s="5" t="str">
        <f>IF(Table1[[#This Row],[Unit''s Leave Quota]]&lt;=6, "Approved", "Quota Exceeded")</f>
        <v>Approved</v>
      </c>
      <c r="L217" s="5"/>
      <c r="M217" t="s">
        <v>205</v>
      </c>
    </row>
    <row r="218" spans="1:13" hidden="1" x14ac:dyDescent="0.3">
      <c r="A218" s="6">
        <v>45879</v>
      </c>
      <c r="B218" t="s">
        <v>12</v>
      </c>
      <c r="C218" t="s">
        <v>13</v>
      </c>
      <c r="D218" t="s">
        <v>62</v>
      </c>
      <c r="E218" s="5" t="s">
        <v>77</v>
      </c>
      <c r="F218" s="5" t="s">
        <v>16</v>
      </c>
      <c r="G218" s="7">
        <v>45879</v>
      </c>
      <c r="H218" s="7">
        <v>45880</v>
      </c>
      <c r="I218" s="5" t="s">
        <v>165</v>
      </c>
      <c r="J218" s="4" cm="1">
        <f t="array" ref="J21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218" s="5" t="str">
        <f>IF(Table1[[#This Row],[Unit''s Leave Quota]]&lt;=6, "Approved", "Quota Exceeded")</f>
        <v>Approved</v>
      </c>
      <c r="L218" s="5"/>
      <c r="M218" t="s">
        <v>152</v>
      </c>
    </row>
    <row r="219" spans="1:13" hidden="1" x14ac:dyDescent="0.3">
      <c r="A219" s="6">
        <v>45880</v>
      </c>
      <c r="B219" t="s">
        <v>12</v>
      </c>
      <c r="C219" t="s">
        <v>22</v>
      </c>
      <c r="D219" t="s">
        <v>140</v>
      </c>
      <c r="E219" s="5" t="s">
        <v>150</v>
      </c>
      <c r="F219" s="5" t="s">
        <v>16</v>
      </c>
      <c r="G219" s="7">
        <v>45882</v>
      </c>
      <c r="H219" s="7">
        <v>45882</v>
      </c>
      <c r="I219" s="5" t="s">
        <v>165</v>
      </c>
      <c r="J219" s="4" cm="1">
        <f t="array" ref="J21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1</v>
      </c>
      <c r="K219" s="5" t="str">
        <f>IF(Table1[[#This Row],[Unit''s Leave Quota]]&lt;=6, "Approved", "Quota Exceeded")</f>
        <v>Approved</v>
      </c>
      <c r="L219" s="5"/>
      <c r="M219" t="s">
        <v>152</v>
      </c>
    </row>
    <row r="220" spans="1:13" hidden="1" x14ac:dyDescent="0.3">
      <c r="A220" s="6">
        <v>45880</v>
      </c>
      <c r="B220" t="s">
        <v>12</v>
      </c>
      <c r="C220" t="s">
        <v>55</v>
      </c>
      <c r="D220" t="s">
        <v>217</v>
      </c>
      <c r="E220" s="5" t="s">
        <v>57</v>
      </c>
      <c r="F220" s="5" t="s">
        <v>16</v>
      </c>
      <c r="G220" s="7">
        <v>45917</v>
      </c>
      <c r="H220" s="7">
        <v>45917</v>
      </c>
      <c r="I220" s="5" t="s">
        <v>165</v>
      </c>
      <c r="J220" s="4" cm="1">
        <f t="array" ref="J22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20" s="5" t="str">
        <f>IF(Table1[[#This Row],[Unit''s Leave Quota]]&lt;=6, "Approved", "Quota Exceeded")</f>
        <v>Approved</v>
      </c>
      <c r="L220" s="5"/>
      <c r="M220" t="s">
        <v>152</v>
      </c>
    </row>
    <row r="221" spans="1:13" hidden="1" x14ac:dyDescent="0.3">
      <c r="A221" s="6">
        <v>45883</v>
      </c>
      <c r="B221" t="s">
        <v>12</v>
      </c>
      <c r="C221" t="s">
        <v>13</v>
      </c>
      <c r="D221" t="s">
        <v>238</v>
      </c>
      <c r="E221" s="5" t="s">
        <v>80</v>
      </c>
      <c r="F221" s="5" t="s">
        <v>16</v>
      </c>
      <c r="G221" s="7">
        <v>46014</v>
      </c>
      <c r="H221" s="7">
        <v>46022</v>
      </c>
      <c r="I221" s="5" t="s">
        <v>108</v>
      </c>
      <c r="J221" s="4" cm="1">
        <f t="array" ref="J22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21" s="5" t="str">
        <f>IF(Table1[[#This Row],[Unit''s Leave Quota]]&lt;=6, "Approved", "Quota Exceeded")</f>
        <v>Approved</v>
      </c>
      <c r="L221" s="5"/>
      <c r="M221" t="s">
        <v>155</v>
      </c>
    </row>
    <row r="222" spans="1:13" hidden="1" x14ac:dyDescent="0.3">
      <c r="A222" s="6">
        <v>45884</v>
      </c>
      <c r="B222" t="s">
        <v>12</v>
      </c>
      <c r="C222" t="s">
        <v>173</v>
      </c>
      <c r="D222" t="s">
        <v>202</v>
      </c>
      <c r="E222" s="5" t="s">
        <v>253</v>
      </c>
      <c r="F222" s="5" t="s">
        <v>16</v>
      </c>
      <c r="G222" s="7">
        <v>45885</v>
      </c>
      <c r="H222" s="7">
        <v>45885</v>
      </c>
      <c r="I222" s="5" t="s">
        <v>254</v>
      </c>
      <c r="J222" s="4" cm="1">
        <f t="array" ref="J22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222" s="5" t="str">
        <f>IF(Table1[[#This Row],[Unit''s Leave Quota]]&lt;=6, "Approved", "Quota Exceeded")</f>
        <v>Approved</v>
      </c>
      <c r="L222" s="5"/>
      <c r="M222" t="s">
        <v>203</v>
      </c>
    </row>
    <row r="223" spans="1:13" hidden="1" x14ac:dyDescent="0.3">
      <c r="A223" s="6">
        <v>45884</v>
      </c>
      <c r="B223" t="s">
        <v>12</v>
      </c>
      <c r="C223" t="s">
        <v>210</v>
      </c>
      <c r="D223" t="s">
        <v>170</v>
      </c>
      <c r="E223" s="5" t="s">
        <v>144</v>
      </c>
      <c r="F223" s="5" t="s">
        <v>16</v>
      </c>
      <c r="G223" s="7">
        <v>45948</v>
      </c>
      <c r="H223" s="7">
        <v>45952</v>
      </c>
      <c r="I223" s="5" t="s">
        <v>212</v>
      </c>
      <c r="J223" s="4" cm="1">
        <f t="array" ref="J22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23" s="5" t="str">
        <f>IF(Table1[[#This Row],[Unit''s Leave Quota]]&lt;=6, "Approved", "Quota Exceeded")</f>
        <v>Approved</v>
      </c>
      <c r="L223" s="5"/>
      <c r="M223" t="s">
        <v>152</v>
      </c>
    </row>
    <row r="224" spans="1:13" hidden="1" x14ac:dyDescent="0.3">
      <c r="A224" s="6">
        <v>45887</v>
      </c>
      <c r="B224" t="s">
        <v>12</v>
      </c>
      <c r="C224" t="s">
        <v>22</v>
      </c>
      <c r="D224" t="s">
        <v>134</v>
      </c>
      <c r="E224" s="5" t="s">
        <v>255</v>
      </c>
      <c r="F224" s="5" t="s">
        <v>16</v>
      </c>
      <c r="G224" s="7">
        <v>45954</v>
      </c>
      <c r="H224" s="7">
        <v>45956</v>
      </c>
      <c r="I224" s="5" t="s">
        <v>239</v>
      </c>
      <c r="J224" s="4" cm="1">
        <f t="array" ref="J22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224" s="5" t="str">
        <f>IF(Table1[[#This Row],[Unit''s Leave Quota]]&lt;=6, "Approved", "Quota Exceeded")</f>
        <v>Approved</v>
      </c>
      <c r="L224" s="5"/>
      <c r="M224" t="s">
        <v>256</v>
      </c>
    </row>
    <row r="225" spans="1:13" x14ac:dyDescent="0.3">
      <c r="A225" s="6">
        <v>45887</v>
      </c>
      <c r="B225" t="s">
        <v>12</v>
      </c>
      <c r="C225" t="s">
        <v>22</v>
      </c>
      <c r="D225" t="s">
        <v>257</v>
      </c>
      <c r="E225" s="5" t="s">
        <v>80</v>
      </c>
      <c r="F225" s="5" t="s">
        <v>16</v>
      </c>
      <c r="G225" s="7">
        <v>46068</v>
      </c>
      <c r="H225" s="7">
        <v>46070</v>
      </c>
      <c r="I225" s="5" t="s">
        <v>108</v>
      </c>
      <c r="J225" s="4" cm="1">
        <f t="array" ref="J22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225" s="5" t="str">
        <f>IF(Table1[[#This Row],[Unit''s Leave Quota]]&lt;=6, "Approved", "Quota Exceeded")</f>
        <v>Approved</v>
      </c>
      <c r="L225" s="5"/>
      <c r="M225" t="s">
        <v>155</v>
      </c>
    </row>
    <row r="226" spans="1:13" hidden="1" x14ac:dyDescent="0.3">
      <c r="A226" s="6">
        <v>45888</v>
      </c>
      <c r="B226" t="s">
        <v>12</v>
      </c>
      <c r="C226" t="s">
        <v>13</v>
      </c>
      <c r="D226" t="s">
        <v>62</v>
      </c>
      <c r="E226" s="5" t="s">
        <v>150</v>
      </c>
      <c r="F226" s="5" t="s">
        <v>16</v>
      </c>
      <c r="G226" s="7">
        <v>45889</v>
      </c>
      <c r="H226" s="7">
        <v>45889</v>
      </c>
      <c r="I226" s="5" t="s">
        <v>165</v>
      </c>
      <c r="J226" s="4" cm="1">
        <f t="array" ref="J22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226" s="5" t="str">
        <f>IF(Table1[[#This Row],[Unit''s Leave Quota]]&lt;=6, "Approved", "Quota Exceeded")</f>
        <v>Approved</v>
      </c>
      <c r="L226" s="5"/>
      <c r="M226" t="s">
        <v>152</v>
      </c>
    </row>
    <row r="227" spans="1:13" hidden="1" x14ac:dyDescent="0.3">
      <c r="A227" s="6">
        <v>45889</v>
      </c>
      <c r="B227" t="s">
        <v>12</v>
      </c>
      <c r="C227" t="s">
        <v>13</v>
      </c>
      <c r="D227" t="s">
        <v>245</v>
      </c>
      <c r="E227" s="5" t="s">
        <v>246</v>
      </c>
      <c r="F227" s="5" t="s">
        <v>16</v>
      </c>
      <c r="G227" s="7">
        <v>45889</v>
      </c>
      <c r="H227" s="7">
        <v>45889</v>
      </c>
      <c r="I227" s="5" t="s">
        <v>199</v>
      </c>
      <c r="J227" s="4" cm="1">
        <f t="array" ref="J22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227" s="5" t="str">
        <f>IF(Table1[[#This Row],[Unit''s Leave Quota]]&lt;=6, "Approved", "Quota Exceeded")</f>
        <v>Approved</v>
      </c>
      <c r="L227" s="5"/>
      <c r="M227" t="s">
        <v>258</v>
      </c>
    </row>
    <row r="228" spans="1:13" hidden="1" x14ac:dyDescent="0.3">
      <c r="A228" s="6">
        <v>45890</v>
      </c>
      <c r="B228" t="s">
        <v>12</v>
      </c>
      <c r="C228" t="s">
        <v>22</v>
      </c>
      <c r="D228" t="s">
        <v>180</v>
      </c>
      <c r="E228" s="5" t="s">
        <v>77</v>
      </c>
      <c r="F228" s="5" t="s">
        <v>16</v>
      </c>
      <c r="G228" s="7">
        <v>45890</v>
      </c>
      <c r="H228" s="7">
        <v>45890</v>
      </c>
      <c r="I228" s="5" t="s">
        <v>160</v>
      </c>
      <c r="J228" s="4" cm="1">
        <f t="array" ref="J22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228" s="5" t="str">
        <f>IF(Table1[[#This Row],[Unit''s Leave Quota]]&lt;=6, "Approved", "Quota Exceeded")</f>
        <v>Approved</v>
      </c>
      <c r="L228" s="5"/>
      <c r="M228" t="s">
        <v>219</v>
      </c>
    </row>
    <row r="229" spans="1:13" hidden="1" x14ac:dyDescent="0.3">
      <c r="A229" s="6">
        <v>45890</v>
      </c>
      <c r="B229" t="s">
        <v>12</v>
      </c>
      <c r="C229" t="s">
        <v>173</v>
      </c>
      <c r="D229" t="s">
        <v>188</v>
      </c>
      <c r="E229" s="5" t="s">
        <v>259</v>
      </c>
      <c r="F229" s="5" t="s">
        <v>16</v>
      </c>
      <c r="G229" s="7">
        <v>45890</v>
      </c>
      <c r="H229" s="7">
        <v>45891</v>
      </c>
      <c r="I229" s="5" t="s">
        <v>30</v>
      </c>
      <c r="J229" s="4" cm="1">
        <f t="array" ref="J22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229" s="5" t="str">
        <f>IF(Table1[[#This Row],[Unit''s Leave Quota]]&lt;=6, "Approved", "Quota Exceeded")</f>
        <v>Approved</v>
      </c>
      <c r="L229" s="5"/>
      <c r="M229" t="s">
        <v>260</v>
      </c>
    </row>
    <row r="230" spans="1:13" x14ac:dyDescent="0.3">
      <c r="A230" s="6">
        <v>45891</v>
      </c>
      <c r="B230" t="s">
        <v>12</v>
      </c>
      <c r="C230" t="s">
        <v>161</v>
      </c>
      <c r="D230" t="s">
        <v>261</v>
      </c>
      <c r="E230" s="5" t="s">
        <v>262</v>
      </c>
      <c r="F230" s="5" t="s">
        <v>16</v>
      </c>
      <c r="G230" s="7">
        <v>46077</v>
      </c>
      <c r="H230" s="7">
        <v>46092</v>
      </c>
      <c r="I230" s="5" t="s">
        <v>239</v>
      </c>
      <c r="J230" s="4" cm="1">
        <f t="array" ref="J23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230" s="5" t="str">
        <f>IF(Table1[[#This Row],[Unit''s Leave Quota]]&lt;=6, "Approved", "Quota Exceeded")</f>
        <v>Approved</v>
      </c>
      <c r="L230" s="5"/>
      <c r="M230" t="s">
        <v>155</v>
      </c>
    </row>
    <row r="231" spans="1:13" hidden="1" x14ac:dyDescent="0.3">
      <c r="A231" s="6">
        <v>45894</v>
      </c>
      <c r="B231" t="s">
        <v>12</v>
      </c>
      <c r="C231" t="s">
        <v>263</v>
      </c>
      <c r="D231" t="s">
        <v>42</v>
      </c>
      <c r="E231" s="5" t="s">
        <v>139</v>
      </c>
      <c r="F231" s="5" t="s">
        <v>16</v>
      </c>
      <c r="G231" s="7">
        <v>45894</v>
      </c>
      <c r="H231" s="7">
        <v>45894</v>
      </c>
      <c r="I231" s="5" t="s">
        <v>239</v>
      </c>
      <c r="J231" s="4" cm="1">
        <f t="array" ref="J23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231" s="5" t="str">
        <f>IF(Table1[[#This Row],[Unit''s Leave Quota]]&lt;=6, "Approved", "Quota Exceeded")</f>
        <v>Approved</v>
      </c>
      <c r="L231" s="5"/>
      <c r="M231" t="s">
        <v>193</v>
      </c>
    </row>
    <row r="232" spans="1:13" hidden="1" x14ac:dyDescent="0.3">
      <c r="A232" s="6">
        <v>45895</v>
      </c>
      <c r="B232" t="s">
        <v>12</v>
      </c>
      <c r="C232" t="s">
        <v>22</v>
      </c>
      <c r="D232" t="s">
        <v>140</v>
      </c>
      <c r="E232" s="5" t="s">
        <v>150</v>
      </c>
      <c r="F232" s="5" t="s">
        <v>16</v>
      </c>
      <c r="G232" s="7">
        <v>45896</v>
      </c>
      <c r="H232" s="7">
        <v>45896</v>
      </c>
      <c r="I232" s="5" t="s">
        <v>165</v>
      </c>
      <c r="J232" s="4" cm="1">
        <f t="array" ref="J23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1</v>
      </c>
      <c r="K232" s="5" t="str">
        <f>IF(Table1[[#This Row],[Unit''s Leave Quota]]&lt;=6, "Approved", "Quota Exceeded")</f>
        <v>Approved</v>
      </c>
      <c r="L232" s="5"/>
      <c r="M232" t="s">
        <v>152</v>
      </c>
    </row>
    <row r="233" spans="1:13" hidden="1" x14ac:dyDescent="0.3">
      <c r="A233" s="6">
        <v>45896</v>
      </c>
      <c r="B233" t="s">
        <v>12</v>
      </c>
      <c r="C233" t="s">
        <v>173</v>
      </c>
      <c r="D233" t="s">
        <v>202</v>
      </c>
      <c r="E233" s="5" t="s">
        <v>150</v>
      </c>
      <c r="F233" s="5" t="s">
        <v>16</v>
      </c>
      <c r="G233" s="7">
        <v>45897</v>
      </c>
      <c r="H233" s="7">
        <v>45898</v>
      </c>
      <c r="I233" s="5" t="s">
        <v>30</v>
      </c>
      <c r="J233" s="4" cm="1">
        <f t="array" ref="J23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33" s="5" t="str">
        <f>IF(Table1[[#This Row],[Unit''s Leave Quota]]&lt;=6, "Approved", "Quota Exceeded")</f>
        <v>Approved</v>
      </c>
      <c r="L233" s="5"/>
      <c r="M233" t="s">
        <v>168</v>
      </c>
    </row>
    <row r="234" spans="1:13" hidden="1" x14ac:dyDescent="0.3">
      <c r="A234" s="6">
        <v>45898</v>
      </c>
      <c r="B234" t="s">
        <v>12</v>
      </c>
      <c r="C234" t="s">
        <v>13</v>
      </c>
      <c r="D234" t="s">
        <v>245</v>
      </c>
      <c r="E234" s="5" t="s">
        <v>77</v>
      </c>
      <c r="F234" s="5" t="s">
        <v>16</v>
      </c>
      <c r="G234" s="7">
        <v>45898</v>
      </c>
      <c r="H234" s="7">
        <v>45898</v>
      </c>
      <c r="I234" s="5" t="s">
        <v>199</v>
      </c>
      <c r="J234" s="4" cm="1">
        <f t="array" ref="J23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34" s="5" t="str">
        <f>IF(Table1[[#This Row],[Unit''s Leave Quota]]&lt;=6, "Approved", "Quota Exceeded")</f>
        <v>Approved</v>
      </c>
      <c r="L234" s="5"/>
      <c r="M234" t="s">
        <v>258</v>
      </c>
    </row>
    <row r="235" spans="1:13" hidden="1" x14ac:dyDescent="0.3">
      <c r="A235" s="6">
        <v>45898</v>
      </c>
      <c r="B235" t="s">
        <v>12</v>
      </c>
      <c r="C235" t="s">
        <v>22</v>
      </c>
      <c r="D235" t="s">
        <v>51</v>
      </c>
      <c r="E235" s="5" t="s">
        <v>77</v>
      </c>
      <c r="F235" s="5" t="s">
        <v>16</v>
      </c>
      <c r="G235" s="7">
        <v>45898</v>
      </c>
      <c r="H235" s="7">
        <v>45899</v>
      </c>
      <c r="I235" s="5" t="s">
        <v>160</v>
      </c>
      <c r="J235" s="4" cm="1">
        <f t="array" ref="J23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35" s="5" t="str">
        <f>IF(Table1[[#This Row],[Unit''s Leave Quota]]&lt;=6, "Approved", "Quota Exceeded")</f>
        <v>Approved</v>
      </c>
      <c r="L235" s="5"/>
      <c r="M235" t="s">
        <v>155</v>
      </c>
    </row>
    <row r="236" spans="1:13" hidden="1" x14ac:dyDescent="0.3">
      <c r="A236" s="6">
        <v>45898</v>
      </c>
      <c r="B236" t="s">
        <v>12</v>
      </c>
      <c r="C236" t="s">
        <v>197</v>
      </c>
      <c r="D236" t="s">
        <v>47</v>
      </c>
      <c r="E236" s="5" t="s">
        <v>80</v>
      </c>
      <c r="F236" s="5" t="s">
        <v>16</v>
      </c>
      <c r="G236" s="7">
        <v>45899</v>
      </c>
      <c r="H236" s="7">
        <v>45899</v>
      </c>
      <c r="I236" s="5" t="s">
        <v>199</v>
      </c>
      <c r="J236" s="4" cm="1">
        <f t="array" ref="J23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36" s="5" t="str">
        <f>IF(Table1[[#This Row],[Unit''s Leave Quota]]&lt;=6, "Approved", "Quota Exceeded")</f>
        <v>Approved</v>
      </c>
      <c r="L236" s="5"/>
      <c r="M236" t="s">
        <v>216</v>
      </c>
    </row>
    <row r="237" spans="1:13" hidden="1" x14ac:dyDescent="0.3">
      <c r="A237" s="6">
        <v>45898</v>
      </c>
      <c r="B237" t="s">
        <v>12</v>
      </c>
      <c r="C237" t="s">
        <v>120</v>
      </c>
      <c r="D237" t="s">
        <v>108</v>
      </c>
      <c r="E237" s="5" t="s">
        <v>80</v>
      </c>
      <c r="F237" s="5" t="s">
        <v>16</v>
      </c>
      <c r="G237" s="7">
        <v>45906</v>
      </c>
      <c r="H237" s="7">
        <v>45908</v>
      </c>
      <c r="I237" s="5" t="s">
        <v>183</v>
      </c>
      <c r="J237" s="4" cm="1">
        <f t="array" ref="J23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37" s="5" t="str">
        <f>IF(Table1[[#This Row],[Unit''s Leave Quota]]&lt;=6, "Approved", "Quota Exceeded")</f>
        <v>Approved</v>
      </c>
      <c r="L237" s="5"/>
      <c r="M237" t="s">
        <v>172</v>
      </c>
    </row>
    <row r="238" spans="1:13" hidden="1" x14ac:dyDescent="0.3">
      <c r="A238" s="6">
        <v>45901</v>
      </c>
      <c r="B238" t="s">
        <v>12</v>
      </c>
      <c r="C238" t="s">
        <v>173</v>
      </c>
      <c r="D238" t="s">
        <v>228</v>
      </c>
      <c r="E238" s="5" t="s">
        <v>150</v>
      </c>
      <c r="F238" s="5" t="s">
        <v>16</v>
      </c>
      <c r="G238" s="7">
        <v>45903</v>
      </c>
      <c r="H238" s="7">
        <v>45903</v>
      </c>
      <c r="I238" s="5" t="s">
        <v>30</v>
      </c>
      <c r="J238" s="4" cm="1">
        <f t="array" ref="J23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238" s="5" t="str">
        <f>IF(Table1[[#This Row],[Unit''s Leave Quota]]&lt;=6, "Approved", "Quota Exceeded")</f>
        <v>Approved</v>
      </c>
      <c r="L238" s="5"/>
      <c r="M238" t="s">
        <v>205</v>
      </c>
    </row>
    <row r="239" spans="1:13" hidden="1" x14ac:dyDescent="0.3">
      <c r="A239" s="6">
        <v>45902</v>
      </c>
      <c r="B239" t="s">
        <v>12</v>
      </c>
      <c r="C239" t="s">
        <v>22</v>
      </c>
      <c r="D239" t="s">
        <v>51</v>
      </c>
      <c r="E239" s="5" t="s">
        <v>77</v>
      </c>
      <c r="F239" s="5" t="s">
        <v>16</v>
      </c>
      <c r="G239" s="7">
        <v>45905</v>
      </c>
      <c r="H239" s="7">
        <v>45905</v>
      </c>
      <c r="I239" s="5" t="s">
        <v>160</v>
      </c>
      <c r="J239" s="4" cm="1">
        <f t="array" ref="J23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39" s="5" t="str">
        <f>IF(Table1[[#This Row],[Unit''s Leave Quota]]&lt;=6, "Approved", "Quota Exceeded")</f>
        <v>Approved</v>
      </c>
      <c r="L239" s="5"/>
      <c r="M239" t="s">
        <v>219</v>
      </c>
    </row>
    <row r="240" spans="1:13" hidden="1" x14ac:dyDescent="0.3">
      <c r="A240" s="6">
        <v>45903</v>
      </c>
      <c r="B240" t="s">
        <v>12</v>
      </c>
      <c r="C240" t="s">
        <v>161</v>
      </c>
      <c r="D240" t="s">
        <v>91</v>
      </c>
      <c r="E240" s="5" t="s">
        <v>264</v>
      </c>
      <c r="F240" s="5" t="s">
        <v>16</v>
      </c>
      <c r="G240" s="7">
        <v>45909</v>
      </c>
      <c r="H240" s="7">
        <v>45910</v>
      </c>
      <c r="I240" s="5" t="s">
        <v>239</v>
      </c>
      <c r="J240" s="4" cm="1">
        <f t="array" ref="J24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40" s="5" t="str">
        <f>IF(Table1[[#This Row],[Unit''s Leave Quota]]&lt;=6, "Approved", "Quota Exceeded")</f>
        <v>Approved</v>
      </c>
      <c r="L240" s="5"/>
      <c r="M240" t="s">
        <v>159</v>
      </c>
    </row>
    <row r="241" spans="1:13" hidden="1" x14ac:dyDescent="0.3">
      <c r="A241" s="6">
        <v>45905</v>
      </c>
      <c r="B241" t="s">
        <v>12</v>
      </c>
      <c r="C241" t="s">
        <v>265</v>
      </c>
      <c r="D241" t="s">
        <v>266</v>
      </c>
      <c r="E241" s="5" t="s">
        <v>80</v>
      </c>
      <c r="F241" s="5" t="s">
        <v>16</v>
      </c>
      <c r="G241" s="7">
        <v>45908</v>
      </c>
      <c r="H241" s="7">
        <v>45908</v>
      </c>
      <c r="I241" s="5" t="s">
        <v>108</v>
      </c>
      <c r="J241" s="4" cm="1">
        <f t="array" ref="J24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41" s="5" t="str">
        <f>IF(Table1[[#This Row],[Unit''s Leave Quota]]&lt;=6, "Approved", "Quota Exceeded")</f>
        <v>Approved</v>
      </c>
      <c r="L241" s="5"/>
      <c r="M241" t="s">
        <v>155</v>
      </c>
    </row>
    <row r="242" spans="1:13" hidden="1" x14ac:dyDescent="0.3">
      <c r="A242" s="6">
        <v>45906</v>
      </c>
      <c r="B242" t="s">
        <v>12</v>
      </c>
      <c r="C242" t="s">
        <v>55</v>
      </c>
      <c r="D242" t="s">
        <v>220</v>
      </c>
      <c r="E242" s="5" t="s">
        <v>150</v>
      </c>
      <c r="F242" s="5" t="s">
        <v>16</v>
      </c>
      <c r="G242" s="7">
        <v>45906</v>
      </c>
      <c r="H242" s="7">
        <v>45906</v>
      </c>
      <c r="I242" s="5" t="s">
        <v>165</v>
      </c>
      <c r="J242" s="4" cm="1">
        <f t="array" ref="J24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42" s="5" t="str">
        <f>IF(Table1[[#This Row],[Unit''s Leave Quota]]&lt;=6, "Approved", "Quota Exceeded")</f>
        <v>Approved</v>
      </c>
      <c r="L242" s="5"/>
      <c r="M242" t="s">
        <v>152</v>
      </c>
    </row>
    <row r="243" spans="1:13" hidden="1" x14ac:dyDescent="0.3">
      <c r="A243" s="6">
        <v>45907</v>
      </c>
      <c r="B243" t="s">
        <v>12</v>
      </c>
      <c r="C243" t="s">
        <v>55</v>
      </c>
      <c r="D243" t="s">
        <v>56</v>
      </c>
      <c r="E243" s="5" t="s">
        <v>150</v>
      </c>
      <c r="F243" s="5" t="s">
        <v>16</v>
      </c>
      <c r="G243" s="7">
        <v>45908</v>
      </c>
      <c r="H243" s="7">
        <v>45908</v>
      </c>
      <c r="I243" s="5" t="s">
        <v>165</v>
      </c>
      <c r="J243" s="4" cm="1">
        <f t="array" ref="J24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43" s="5" t="str">
        <f>IF(Table1[[#This Row],[Unit''s Leave Quota]]&lt;=6, "Approved", "Quota Exceeded")</f>
        <v>Approved</v>
      </c>
      <c r="L243" s="5"/>
      <c r="M243" t="s">
        <v>152</v>
      </c>
    </row>
    <row r="244" spans="1:13" hidden="1" x14ac:dyDescent="0.3">
      <c r="A244" s="6">
        <v>45908</v>
      </c>
      <c r="B244" t="s">
        <v>12</v>
      </c>
      <c r="C244" t="s">
        <v>22</v>
      </c>
      <c r="D244" t="s">
        <v>51</v>
      </c>
      <c r="E244" s="5" t="s">
        <v>77</v>
      </c>
      <c r="F244" s="5" t="s">
        <v>16</v>
      </c>
      <c r="G244" s="7">
        <v>45909</v>
      </c>
      <c r="H244" s="7">
        <v>45909</v>
      </c>
      <c r="I244" s="5" t="s">
        <v>160</v>
      </c>
      <c r="J244" s="4" cm="1">
        <f t="array" ref="J24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44" s="5" t="str">
        <f>IF(Table1[[#This Row],[Unit''s Leave Quota]]&lt;=6, "Approved", "Quota Exceeded")</f>
        <v>Approved</v>
      </c>
      <c r="L244" s="5"/>
      <c r="M244" t="s">
        <v>267</v>
      </c>
    </row>
    <row r="245" spans="1:13" hidden="1" x14ac:dyDescent="0.3">
      <c r="A245" s="6">
        <v>45908</v>
      </c>
      <c r="B245" t="s">
        <v>12</v>
      </c>
      <c r="C245" t="s">
        <v>55</v>
      </c>
      <c r="D245" t="s">
        <v>95</v>
      </c>
      <c r="E245" s="5" t="s">
        <v>187</v>
      </c>
      <c r="F245" s="5" t="s">
        <v>16</v>
      </c>
      <c r="G245" s="7">
        <v>45913</v>
      </c>
      <c r="H245" s="7">
        <v>45914</v>
      </c>
      <c r="I245" s="5" t="s">
        <v>160</v>
      </c>
      <c r="J245" s="4">
        <v>4</v>
      </c>
      <c r="K245" s="5" t="s">
        <v>190</v>
      </c>
      <c r="L245" s="5"/>
      <c r="M245" t="s">
        <v>152</v>
      </c>
    </row>
    <row r="246" spans="1:13" x14ac:dyDescent="0.3">
      <c r="A246" s="6">
        <v>45908</v>
      </c>
      <c r="B246" t="s">
        <v>12</v>
      </c>
      <c r="C246" t="s">
        <v>120</v>
      </c>
      <c r="D246" t="s">
        <v>30</v>
      </c>
      <c r="E246" s="5" t="s">
        <v>31</v>
      </c>
      <c r="F246" s="5" t="s">
        <v>16</v>
      </c>
      <c r="G246" s="7">
        <v>46044</v>
      </c>
      <c r="H246" s="7">
        <v>46051</v>
      </c>
      <c r="I246" s="5" t="s">
        <v>32</v>
      </c>
      <c r="J246" s="4" cm="1">
        <f t="array" ref="J24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246" s="5" t="str">
        <f>IF(Table1[[#This Row],[Unit''s Leave Quota]]&lt;=6, "Approved", "Quota Exceeded")</f>
        <v>Approved</v>
      </c>
      <c r="L246" s="5"/>
      <c r="M246" t="s">
        <v>168</v>
      </c>
    </row>
    <row r="247" spans="1:13" x14ac:dyDescent="0.3">
      <c r="A247" s="6">
        <v>45908</v>
      </c>
      <c r="B247" t="s">
        <v>12</v>
      </c>
      <c r="C247" t="s">
        <v>161</v>
      </c>
      <c r="D247" t="s">
        <v>79</v>
      </c>
      <c r="E247" s="5" t="s">
        <v>93</v>
      </c>
      <c r="F247" s="5" t="s">
        <v>16</v>
      </c>
      <c r="G247" s="7">
        <v>46044</v>
      </c>
      <c r="H247" s="7">
        <v>46054</v>
      </c>
      <c r="I247" s="5" t="s">
        <v>81</v>
      </c>
      <c r="J247" s="4" cm="1">
        <f t="array" ref="J24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247" s="5" t="str">
        <f>IF(Table1[[#This Row],[Unit''s Leave Quota]]&lt;=6, "Approved", "Quota Exceeded")</f>
        <v>Approved</v>
      </c>
      <c r="L247" s="5"/>
      <c r="M247" t="s">
        <v>268</v>
      </c>
    </row>
    <row r="248" spans="1:13" hidden="1" x14ac:dyDescent="0.3">
      <c r="A248" s="6">
        <v>45909</v>
      </c>
      <c r="B248" t="s">
        <v>12</v>
      </c>
      <c r="C248" t="s">
        <v>173</v>
      </c>
      <c r="D248" t="s">
        <v>228</v>
      </c>
      <c r="E248" s="5" t="s">
        <v>150</v>
      </c>
      <c r="F248" s="5" t="s">
        <v>16</v>
      </c>
      <c r="G248" s="7">
        <v>45909</v>
      </c>
      <c r="H248" s="7">
        <v>45910</v>
      </c>
      <c r="I248" s="5" t="s">
        <v>30</v>
      </c>
      <c r="J248" s="4" cm="1">
        <f t="array" ref="J24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48" s="5" t="str">
        <f>IF(Table1[[#This Row],[Unit''s Leave Quota]]&lt;=6, "Approved", "Quota Exceeded")</f>
        <v>Approved</v>
      </c>
      <c r="L248" s="5"/>
      <c r="M248" t="s">
        <v>179</v>
      </c>
    </row>
    <row r="249" spans="1:13" hidden="1" x14ac:dyDescent="0.3">
      <c r="A249" s="6">
        <v>45909</v>
      </c>
      <c r="B249" t="s">
        <v>12</v>
      </c>
      <c r="C249" t="s">
        <v>13</v>
      </c>
      <c r="D249" t="s">
        <v>175</v>
      </c>
      <c r="E249" s="5" t="s">
        <v>80</v>
      </c>
      <c r="F249" s="5" t="s">
        <v>16</v>
      </c>
      <c r="G249" s="7">
        <v>46004</v>
      </c>
      <c r="H249" s="7">
        <v>46009</v>
      </c>
      <c r="I249" s="5" t="s">
        <v>239</v>
      </c>
      <c r="J249" s="4" cm="1">
        <f t="array" ref="J24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7</v>
      </c>
      <c r="K249" s="5" t="str">
        <f>IF(Table1[[#This Row],[Unit''s Leave Quota]]&lt;=6, "Approved", "Quota Exceeded")</f>
        <v>Quota Exceeded</v>
      </c>
      <c r="L249" s="5"/>
      <c r="M249" t="s">
        <v>269</v>
      </c>
    </row>
    <row r="250" spans="1:13" hidden="1" x14ac:dyDescent="0.3">
      <c r="A250" s="6">
        <v>45909</v>
      </c>
      <c r="B250" t="s">
        <v>12</v>
      </c>
      <c r="C250" t="s">
        <v>13</v>
      </c>
      <c r="D250" t="s">
        <v>238</v>
      </c>
      <c r="E250" s="5" t="s">
        <v>66</v>
      </c>
      <c r="F250" s="5" t="s">
        <v>16</v>
      </c>
      <c r="G250" s="7">
        <v>46010</v>
      </c>
      <c r="H250" s="7">
        <v>46012</v>
      </c>
      <c r="I250" s="5" t="s">
        <v>108</v>
      </c>
      <c r="J250" s="4" cm="1">
        <f t="array" ref="J25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7</v>
      </c>
      <c r="K250" s="5" t="str">
        <f>IF(Table1[[#This Row],[Unit''s Leave Quota]]&lt;=6, "Approved", "Quota Exceeded")</f>
        <v>Quota Exceeded</v>
      </c>
      <c r="L250" s="5"/>
      <c r="M250" t="s">
        <v>240</v>
      </c>
    </row>
    <row r="251" spans="1:13" hidden="1" x14ac:dyDescent="0.3">
      <c r="A251" s="6">
        <v>45910</v>
      </c>
      <c r="B251" t="s">
        <v>12</v>
      </c>
      <c r="C251" t="s">
        <v>13</v>
      </c>
      <c r="D251" t="s">
        <v>245</v>
      </c>
      <c r="E251" s="5" t="s">
        <v>246</v>
      </c>
      <c r="F251" s="5" t="s">
        <v>16</v>
      </c>
      <c r="G251" s="7">
        <v>45910</v>
      </c>
      <c r="H251" s="7">
        <v>45910</v>
      </c>
      <c r="I251" s="5" t="s">
        <v>199</v>
      </c>
      <c r="J251" s="4" cm="1">
        <f t="array" ref="J25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51" s="5" t="str">
        <f>IF(Table1[[#This Row],[Unit''s Leave Quota]]&lt;=6, "Approved", "Quota Exceeded")</f>
        <v>Approved</v>
      </c>
      <c r="L251" s="5"/>
      <c r="M251" t="s">
        <v>270</v>
      </c>
    </row>
    <row r="252" spans="1:13" hidden="1" x14ac:dyDescent="0.3">
      <c r="A252" s="6">
        <v>45910</v>
      </c>
      <c r="B252" t="s">
        <v>12</v>
      </c>
      <c r="C252" t="s">
        <v>265</v>
      </c>
      <c r="D252" t="s">
        <v>132</v>
      </c>
      <c r="E252" s="5" t="s">
        <v>77</v>
      </c>
      <c r="F252" s="5" t="s">
        <v>16</v>
      </c>
      <c r="G252" s="7">
        <v>45912</v>
      </c>
      <c r="H252" s="7">
        <v>45912</v>
      </c>
      <c r="I252" s="5" t="s">
        <v>108</v>
      </c>
      <c r="J252" s="4" cm="1">
        <f t="array" ref="J25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52" s="5" t="str">
        <f>IF(Table1[[#This Row],[Unit''s Leave Quota]]&lt;=6, "Approved", "Quota Exceeded")</f>
        <v>Approved</v>
      </c>
      <c r="L252" s="5"/>
      <c r="M252" t="s">
        <v>155</v>
      </c>
    </row>
    <row r="253" spans="1:13" hidden="1" x14ac:dyDescent="0.3">
      <c r="A253" s="6">
        <v>45910</v>
      </c>
      <c r="B253" t="s">
        <v>12</v>
      </c>
      <c r="C253" t="s">
        <v>22</v>
      </c>
      <c r="D253" t="s">
        <v>231</v>
      </c>
      <c r="E253" s="5" t="s">
        <v>80</v>
      </c>
      <c r="F253" s="5" t="s">
        <v>16</v>
      </c>
      <c r="G253" s="7">
        <v>45925</v>
      </c>
      <c r="H253" s="7">
        <v>45929</v>
      </c>
      <c r="I253" s="5" t="s">
        <v>81</v>
      </c>
      <c r="J253" s="4" cm="1">
        <f t="array" ref="J25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53" s="5" t="str">
        <f>IF(Table1[[#This Row],[Unit''s Leave Quota]]&lt;=6, "Approved", "Quota Exceeded")</f>
        <v>Approved</v>
      </c>
      <c r="L253" s="5"/>
      <c r="M253" t="s">
        <v>271</v>
      </c>
    </row>
    <row r="254" spans="1:13" x14ac:dyDescent="0.3">
      <c r="A254" s="6">
        <v>45913</v>
      </c>
      <c r="B254" t="s">
        <v>12</v>
      </c>
      <c r="C254" t="s">
        <v>13</v>
      </c>
      <c r="D254" t="s">
        <v>178</v>
      </c>
      <c r="E254" s="5" t="s">
        <v>272</v>
      </c>
      <c r="F254" s="5" t="s">
        <v>16</v>
      </c>
      <c r="G254" s="7">
        <v>46028</v>
      </c>
      <c r="H254" s="7">
        <v>46042</v>
      </c>
      <c r="I254" s="5" t="s">
        <v>81</v>
      </c>
      <c r="J254" s="4" cm="1">
        <f t="array" ref="J25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54" s="5" t="str">
        <f>IF(Table1[[#This Row],[Unit''s Leave Quota]]&lt;=6, "Approved", "Quota Exceeded")</f>
        <v>Approved</v>
      </c>
      <c r="L254" s="5"/>
      <c r="M254" t="s">
        <v>168</v>
      </c>
    </row>
    <row r="255" spans="1:13" hidden="1" x14ac:dyDescent="0.3">
      <c r="A255" s="6">
        <v>45916</v>
      </c>
      <c r="B255" t="s">
        <v>12</v>
      </c>
      <c r="C255" t="s">
        <v>22</v>
      </c>
      <c r="D255" t="s">
        <v>228</v>
      </c>
      <c r="E255" s="5" t="s">
        <v>273</v>
      </c>
      <c r="F255" s="5" t="s">
        <v>16</v>
      </c>
      <c r="G255" s="7">
        <v>45918</v>
      </c>
      <c r="H255" s="7">
        <v>45919</v>
      </c>
      <c r="I255" s="5" t="s">
        <v>30</v>
      </c>
      <c r="J255" s="4" cm="1">
        <f t="array" ref="J25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55" s="5" t="str">
        <f>IF(Table1[[#This Row],[Unit''s Leave Quota]]&lt;=6, "Approved", "Quota Exceeded")</f>
        <v>Approved</v>
      </c>
      <c r="L255" s="5"/>
      <c r="M255" t="s">
        <v>274</v>
      </c>
    </row>
    <row r="256" spans="1:13" hidden="1" x14ac:dyDescent="0.3">
      <c r="A256" s="6">
        <v>45916</v>
      </c>
      <c r="B256" t="s">
        <v>12</v>
      </c>
      <c r="C256" t="s">
        <v>22</v>
      </c>
      <c r="D256" t="s">
        <v>51</v>
      </c>
      <c r="E256" s="5" t="s">
        <v>77</v>
      </c>
      <c r="F256" s="5" t="s">
        <v>16</v>
      </c>
      <c r="G256" s="7">
        <v>45927</v>
      </c>
      <c r="H256" s="7">
        <v>45927</v>
      </c>
      <c r="I256" s="5" t="s">
        <v>160</v>
      </c>
      <c r="J256" s="4" cm="1">
        <f t="array" ref="J25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56" s="5" t="str">
        <f>IF(Table1[[#This Row],[Unit''s Leave Quota]]&lt;=6, "Approved", "Quota Exceeded")</f>
        <v>Approved</v>
      </c>
      <c r="L256" s="5"/>
      <c r="M256" t="s">
        <v>219</v>
      </c>
    </row>
    <row r="257" spans="1:13" hidden="1" x14ac:dyDescent="0.3">
      <c r="A257" s="6">
        <v>45916</v>
      </c>
      <c r="B257" t="s">
        <v>12</v>
      </c>
      <c r="C257" t="s">
        <v>22</v>
      </c>
      <c r="D257" t="s">
        <v>51</v>
      </c>
      <c r="E257" s="5" t="s">
        <v>77</v>
      </c>
      <c r="F257" s="5" t="s">
        <v>16</v>
      </c>
      <c r="G257" s="7">
        <v>45947</v>
      </c>
      <c r="H257" s="7">
        <v>45950</v>
      </c>
      <c r="I257" s="5" t="s">
        <v>160</v>
      </c>
      <c r="J257" s="4" cm="1">
        <f t="array" ref="J25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57" s="5" t="str">
        <f>IF(Table1[[#This Row],[Unit''s Leave Quota]]&lt;=6, "Approved", "Quota Exceeded")</f>
        <v>Approved</v>
      </c>
      <c r="L257" s="5"/>
      <c r="M257" t="s">
        <v>182</v>
      </c>
    </row>
    <row r="258" spans="1:13" hidden="1" x14ac:dyDescent="0.3">
      <c r="A258" s="6">
        <v>45918</v>
      </c>
      <c r="B258" t="s">
        <v>12</v>
      </c>
      <c r="C258" t="s">
        <v>55</v>
      </c>
      <c r="D258" t="s">
        <v>220</v>
      </c>
      <c r="E258" s="5" t="s">
        <v>150</v>
      </c>
      <c r="F258" s="5" t="s">
        <v>16</v>
      </c>
      <c r="G258" s="7">
        <v>45918</v>
      </c>
      <c r="H258" s="7">
        <v>45918</v>
      </c>
      <c r="I258" s="5" t="s">
        <v>165</v>
      </c>
      <c r="J258" s="4" cm="1">
        <f t="array" ref="J25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58" s="5" t="str">
        <f>IF(Table1[[#This Row],[Unit''s Leave Quota]]&lt;=6, "Approved", "Quota Exceeded")</f>
        <v>Approved</v>
      </c>
      <c r="L258" s="5"/>
      <c r="M258" t="s">
        <v>152</v>
      </c>
    </row>
    <row r="259" spans="1:13" hidden="1" x14ac:dyDescent="0.3">
      <c r="A259" s="6">
        <v>45919</v>
      </c>
      <c r="B259" t="s">
        <v>12</v>
      </c>
      <c r="C259" t="s">
        <v>161</v>
      </c>
      <c r="D259" t="s">
        <v>91</v>
      </c>
      <c r="E259" s="5" t="s">
        <v>139</v>
      </c>
      <c r="F259" s="5" t="s">
        <v>16</v>
      </c>
      <c r="G259" s="7">
        <v>45929</v>
      </c>
      <c r="H259" s="7">
        <v>45929</v>
      </c>
      <c r="I259" s="5" t="s">
        <v>275</v>
      </c>
      <c r="J259" s="4" cm="1">
        <f t="array" ref="J25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59" s="5" t="str">
        <f>IF(Table1[[#This Row],[Unit''s Leave Quota]]&lt;=6, "Approved", "Quota Exceeded")</f>
        <v>Approved</v>
      </c>
      <c r="L259" s="5"/>
      <c r="M259" t="s">
        <v>159</v>
      </c>
    </row>
    <row r="260" spans="1:13" hidden="1" x14ac:dyDescent="0.3">
      <c r="A260" s="6">
        <v>45922</v>
      </c>
      <c r="B260" t="s">
        <v>12</v>
      </c>
      <c r="C260" t="s">
        <v>22</v>
      </c>
      <c r="D260" t="s">
        <v>140</v>
      </c>
      <c r="E260" s="5" t="s">
        <v>150</v>
      </c>
      <c r="F260" s="5" t="s">
        <v>16</v>
      </c>
      <c r="G260" s="7">
        <v>45923</v>
      </c>
      <c r="H260" s="7">
        <v>45923</v>
      </c>
      <c r="I260" s="5" t="s">
        <v>165</v>
      </c>
      <c r="J260" s="4" cm="1">
        <f t="array" ref="J26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1</v>
      </c>
      <c r="K260" s="5" t="str">
        <f>IF(Table1[[#This Row],[Unit''s Leave Quota]]&lt;=6, "Approved", "Quota Exceeded")</f>
        <v>Approved</v>
      </c>
      <c r="L260" s="5"/>
      <c r="M260" t="s">
        <v>152</v>
      </c>
    </row>
    <row r="261" spans="1:13" hidden="1" x14ac:dyDescent="0.3">
      <c r="A261" s="6">
        <v>45923</v>
      </c>
      <c r="B261" t="s">
        <v>12</v>
      </c>
      <c r="C261" t="s">
        <v>13</v>
      </c>
      <c r="D261" t="s">
        <v>84</v>
      </c>
      <c r="E261" s="5" t="s">
        <v>80</v>
      </c>
      <c r="F261" s="5" t="s">
        <v>16</v>
      </c>
      <c r="G261" s="7">
        <v>45927</v>
      </c>
      <c r="H261" s="7">
        <v>45929</v>
      </c>
      <c r="I261" s="5" t="s">
        <v>108</v>
      </c>
      <c r="J261" s="4" cm="1">
        <f t="array" ref="J26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61" s="5" t="str">
        <f>IF(Table1[[#This Row],[Unit''s Leave Quota]]&lt;=6, "Approved", "Quota Exceeded")</f>
        <v>Approved</v>
      </c>
      <c r="L261" s="5"/>
      <c r="M261" t="s">
        <v>155</v>
      </c>
    </row>
    <row r="262" spans="1:13" hidden="1" x14ac:dyDescent="0.3">
      <c r="A262" s="6">
        <v>45923</v>
      </c>
      <c r="B262" t="s">
        <v>12</v>
      </c>
      <c r="C262" t="s">
        <v>55</v>
      </c>
      <c r="D262" t="s">
        <v>56</v>
      </c>
      <c r="E262" s="5" t="s">
        <v>143</v>
      </c>
      <c r="F262" s="5" t="s">
        <v>16</v>
      </c>
      <c r="G262" s="7">
        <v>45974</v>
      </c>
      <c r="H262" s="7">
        <v>45976</v>
      </c>
      <c r="I262" s="5" t="s">
        <v>165</v>
      </c>
      <c r="J262" s="4" cm="1">
        <f t="array" ref="J26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262" s="5" t="str">
        <f>IF(Table1[[#This Row],[Unit''s Leave Quota]]&lt;=6, "Approved", "Quota Exceeded")</f>
        <v>Approved</v>
      </c>
      <c r="L262" s="5"/>
      <c r="M262" t="s">
        <v>152</v>
      </c>
    </row>
    <row r="263" spans="1:13" hidden="1" x14ac:dyDescent="0.3">
      <c r="A263" s="6">
        <v>45925</v>
      </c>
      <c r="B263" t="s">
        <v>12</v>
      </c>
      <c r="C263" t="s">
        <v>13</v>
      </c>
      <c r="D263" t="s">
        <v>245</v>
      </c>
      <c r="E263" s="5" t="s">
        <v>276</v>
      </c>
      <c r="F263" s="5" t="s">
        <v>16</v>
      </c>
      <c r="G263" s="7">
        <v>45925</v>
      </c>
      <c r="H263" s="7">
        <v>45925</v>
      </c>
      <c r="I263" s="5" t="s">
        <v>199</v>
      </c>
      <c r="J263" s="4" cm="1">
        <f t="array" ref="J26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263" s="5" t="str">
        <f>IF(Table1[[#This Row],[Unit''s Leave Quota]]&lt;=6, "Approved", "Quota Exceeded")</f>
        <v>Approved</v>
      </c>
      <c r="L263" s="5"/>
      <c r="M263" t="s">
        <v>258</v>
      </c>
    </row>
    <row r="264" spans="1:13" hidden="1" x14ac:dyDescent="0.3">
      <c r="A264" s="6">
        <v>45927</v>
      </c>
      <c r="B264" t="s">
        <v>12</v>
      </c>
      <c r="C264" t="s">
        <v>277</v>
      </c>
      <c r="D264" t="s">
        <v>132</v>
      </c>
      <c r="E264" s="5" t="s">
        <v>77</v>
      </c>
      <c r="F264" s="5" t="s">
        <v>16</v>
      </c>
      <c r="G264" s="7">
        <v>45928</v>
      </c>
      <c r="H264" s="7">
        <v>45928</v>
      </c>
      <c r="I264" s="5" t="s">
        <v>108</v>
      </c>
      <c r="J264" s="4" cm="1">
        <f t="array" ref="J26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64" s="5" t="str">
        <f>IF(Table1[[#This Row],[Unit''s Leave Quota]]&lt;=6, "Approved", "Quota Exceeded")</f>
        <v>Approved</v>
      </c>
      <c r="L264" s="5"/>
      <c r="M264" t="s">
        <v>155</v>
      </c>
    </row>
    <row r="265" spans="1:13" hidden="1" x14ac:dyDescent="0.3">
      <c r="A265" s="6">
        <v>45930</v>
      </c>
      <c r="B265" t="s">
        <v>12</v>
      </c>
      <c r="C265" t="s">
        <v>55</v>
      </c>
      <c r="D265" t="s">
        <v>220</v>
      </c>
      <c r="E265" s="5" t="s">
        <v>150</v>
      </c>
      <c r="F265" s="5" t="s">
        <v>16</v>
      </c>
      <c r="G265" s="7">
        <v>45930</v>
      </c>
      <c r="H265" s="7">
        <v>45930</v>
      </c>
      <c r="I265" s="5" t="s">
        <v>165</v>
      </c>
      <c r="J265" s="4" cm="1">
        <f t="array" ref="J26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1</v>
      </c>
      <c r="K265" s="5" t="str">
        <f>IF(Table1[[#This Row],[Unit''s Leave Quota]]&lt;=6, "Approved", "Quota Exceeded")</f>
        <v>Approved</v>
      </c>
      <c r="L265" s="5"/>
      <c r="M265" t="s">
        <v>152</v>
      </c>
    </row>
    <row r="266" spans="1:13" hidden="1" x14ac:dyDescent="0.3">
      <c r="A266" s="6">
        <v>45931</v>
      </c>
      <c r="B266" t="s">
        <v>12</v>
      </c>
      <c r="C266" t="s">
        <v>161</v>
      </c>
      <c r="D266" t="s">
        <v>149</v>
      </c>
      <c r="E266" s="5" t="s">
        <v>157</v>
      </c>
      <c r="F266" s="5" t="s">
        <v>16</v>
      </c>
      <c r="G266" s="7">
        <v>45934</v>
      </c>
      <c r="H266" s="7">
        <v>45935</v>
      </c>
      <c r="I266" s="5" t="s">
        <v>160</v>
      </c>
      <c r="J266" s="4" cm="1">
        <f t="array" ref="J26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66" s="5" t="str">
        <f>IF(Table1[[#This Row],[Unit''s Leave Quota]]&lt;=6, "Approved", "Quota Exceeded")</f>
        <v>Approved</v>
      </c>
      <c r="L266" s="5"/>
      <c r="M266" t="s">
        <v>155</v>
      </c>
    </row>
    <row r="267" spans="1:13" hidden="1" x14ac:dyDescent="0.3">
      <c r="A267" s="6">
        <v>45931</v>
      </c>
      <c r="B267" t="s">
        <v>12</v>
      </c>
      <c r="C267" t="s">
        <v>161</v>
      </c>
      <c r="D267" t="s">
        <v>149</v>
      </c>
      <c r="E267" s="5" t="s">
        <v>157</v>
      </c>
      <c r="F267" s="5" t="s">
        <v>16</v>
      </c>
      <c r="G267" s="7">
        <v>45948</v>
      </c>
      <c r="H267" s="7">
        <v>45949</v>
      </c>
      <c r="I267" s="5" t="s">
        <v>160</v>
      </c>
      <c r="J267" s="4" cm="1">
        <f t="array" ref="J26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67" s="5" t="str">
        <f>IF(Table1[[#This Row],[Unit''s Leave Quota]]&lt;=6, "Approved", "Quota Exceeded")</f>
        <v>Approved</v>
      </c>
      <c r="L267" s="5"/>
      <c r="M267" t="s">
        <v>155</v>
      </c>
    </row>
    <row r="268" spans="1:13" hidden="1" x14ac:dyDescent="0.3">
      <c r="A268" s="6">
        <v>45934</v>
      </c>
      <c r="B268" t="s">
        <v>12</v>
      </c>
      <c r="C268" t="s">
        <v>13</v>
      </c>
      <c r="D268" t="s">
        <v>84</v>
      </c>
      <c r="E268" s="5" t="s">
        <v>77</v>
      </c>
      <c r="F268" s="5" t="s">
        <v>16</v>
      </c>
      <c r="G268" s="7">
        <v>45934</v>
      </c>
      <c r="H268" s="7">
        <v>45936</v>
      </c>
      <c r="I268" s="5" t="s">
        <v>108</v>
      </c>
      <c r="J268" s="4" cm="1">
        <f t="array" ref="J26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68" s="5" t="str">
        <f>IF(Table1[[#This Row],[Unit''s Leave Quota]]&lt;=6, "Approved", "Quota Exceeded")</f>
        <v>Approved</v>
      </c>
      <c r="L268" s="5"/>
      <c r="M268" t="s">
        <v>155</v>
      </c>
    </row>
    <row r="269" spans="1:13" hidden="1" x14ac:dyDescent="0.3">
      <c r="A269" s="6">
        <v>45934</v>
      </c>
      <c r="B269" t="s">
        <v>12</v>
      </c>
      <c r="C269" t="s">
        <v>277</v>
      </c>
      <c r="D269" t="s">
        <v>132</v>
      </c>
      <c r="E269" s="5" t="s">
        <v>77</v>
      </c>
      <c r="F269" s="5" t="s">
        <v>16</v>
      </c>
      <c r="G269" s="7">
        <v>45935</v>
      </c>
      <c r="H269" s="7">
        <v>45935</v>
      </c>
      <c r="I269" s="5" t="s">
        <v>108</v>
      </c>
      <c r="J269" s="4" cm="1">
        <f t="array" ref="J26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69" s="5" t="str">
        <f>IF(Table1[[#This Row],[Unit''s Leave Quota]]&lt;=6, "Approved", "Quota Exceeded")</f>
        <v>Approved</v>
      </c>
      <c r="L269" s="5"/>
      <c r="M269" t="s">
        <v>155</v>
      </c>
    </row>
    <row r="270" spans="1:13" x14ac:dyDescent="0.3">
      <c r="A270" s="6">
        <v>45935</v>
      </c>
      <c r="B270" t="s">
        <v>12</v>
      </c>
      <c r="C270" t="s">
        <v>13</v>
      </c>
      <c r="D270" t="s">
        <v>166</v>
      </c>
      <c r="E270" s="5" t="s">
        <v>278</v>
      </c>
      <c r="F270" s="5" t="s">
        <v>16</v>
      </c>
      <c r="G270" s="7">
        <v>46125</v>
      </c>
      <c r="H270" s="7">
        <v>46135</v>
      </c>
      <c r="I270" s="5" t="s">
        <v>81</v>
      </c>
      <c r="J270" s="4" cm="1">
        <f t="array" ref="J27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270" s="5" t="str">
        <f>IF(Table1[[#This Row],[Unit''s Leave Quota]]&lt;=6, "Approved", "Quota Exceeded")</f>
        <v>Approved</v>
      </c>
      <c r="L270" s="5"/>
      <c r="M270" t="s">
        <v>168</v>
      </c>
    </row>
    <row r="271" spans="1:13" hidden="1" x14ac:dyDescent="0.3">
      <c r="A271" s="6">
        <v>45938</v>
      </c>
      <c r="B271" t="s">
        <v>12</v>
      </c>
      <c r="C271" t="s">
        <v>197</v>
      </c>
      <c r="D271" t="s">
        <v>47</v>
      </c>
      <c r="E271" s="5" t="s">
        <v>80</v>
      </c>
      <c r="F271" s="5" t="s">
        <v>16</v>
      </c>
      <c r="G271" s="7">
        <v>45938</v>
      </c>
      <c r="H271" s="7">
        <v>45938</v>
      </c>
      <c r="I271" s="5" t="s">
        <v>199</v>
      </c>
      <c r="J271" s="4" cm="1">
        <f t="array" ref="J27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271" s="5" t="str">
        <f>IF(Table1[[#This Row],[Unit''s Leave Quota]]&lt;=6, "Approved", "Quota Exceeded")</f>
        <v>Approved</v>
      </c>
      <c r="L271" s="5"/>
      <c r="M271" t="s">
        <v>279</v>
      </c>
    </row>
    <row r="272" spans="1:13" hidden="1" x14ac:dyDescent="0.3">
      <c r="A272" s="6">
        <v>45938</v>
      </c>
      <c r="B272" t="s">
        <v>12</v>
      </c>
      <c r="C272" t="s">
        <v>22</v>
      </c>
      <c r="D272" t="s">
        <v>140</v>
      </c>
      <c r="E272" s="5" t="s">
        <v>150</v>
      </c>
      <c r="F272" s="5" t="s">
        <v>16</v>
      </c>
      <c r="G272" s="7">
        <v>45942</v>
      </c>
      <c r="H272" s="7">
        <v>45942</v>
      </c>
      <c r="I272" s="5" t="s">
        <v>280</v>
      </c>
      <c r="J272" s="4" cm="1">
        <f t="array" ref="J27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272" s="5" t="str">
        <f>IF(Table1[[#This Row],[Unit''s Leave Quota]]&lt;=6, "Approved", "Quota Exceeded")</f>
        <v>Approved</v>
      </c>
      <c r="L272" s="5"/>
      <c r="M272" t="s">
        <v>152</v>
      </c>
    </row>
    <row r="273" spans="1:13" hidden="1" x14ac:dyDescent="0.3">
      <c r="A273" s="6">
        <v>45939</v>
      </c>
      <c r="B273" t="s">
        <v>12</v>
      </c>
      <c r="C273" t="s">
        <v>173</v>
      </c>
      <c r="D273" t="s">
        <v>228</v>
      </c>
      <c r="E273" s="5" t="s">
        <v>150</v>
      </c>
      <c r="F273" s="5" t="s">
        <v>16</v>
      </c>
      <c r="G273" s="7">
        <v>45939</v>
      </c>
      <c r="H273" s="7">
        <v>45939</v>
      </c>
      <c r="I273" s="5" t="s">
        <v>30</v>
      </c>
      <c r="J273" s="4" cm="1">
        <f t="array" ref="J27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73" s="5" t="str">
        <f>IF(Table1[[#This Row],[Unit''s Leave Quota]]&lt;=6, "Approved", "Quota Exceeded")</f>
        <v>Approved</v>
      </c>
      <c r="L273" s="5"/>
      <c r="M273" t="s">
        <v>216</v>
      </c>
    </row>
    <row r="274" spans="1:13" hidden="1" x14ac:dyDescent="0.3">
      <c r="A274" s="6">
        <v>45940</v>
      </c>
      <c r="B274" t="s">
        <v>12</v>
      </c>
      <c r="C274" t="s">
        <v>277</v>
      </c>
      <c r="D274" t="s">
        <v>132</v>
      </c>
      <c r="E274" s="5" t="s">
        <v>77</v>
      </c>
      <c r="F274" s="5" t="s">
        <v>16</v>
      </c>
      <c r="G274" s="7">
        <v>45943</v>
      </c>
      <c r="H274" s="7">
        <v>45943</v>
      </c>
      <c r="I274" s="5" t="s">
        <v>108</v>
      </c>
      <c r="J274" s="4" cm="1">
        <f t="array" ref="J27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274" s="5" t="str">
        <f>IF(Table1[[#This Row],[Unit''s Leave Quota]]&lt;=6, "Approved", "Quota Exceeded")</f>
        <v>Approved</v>
      </c>
      <c r="L274" s="5"/>
      <c r="M274" t="s">
        <v>155</v>
      </c>
    </row>
    <row r="275" spans="1:13" hidden="1" x14ac:dyDescent="0.3">
      <c r="A275" s="6">
        <v>45940</v>
      </c>
      <c r="B275" t="s">
        <v>12</v>
      </c>
      <c r="C275" t="s">
        <v>22</v>
      </c>
      <c r="D275" t="s">
        <v>140</v>
      </c>
      <c r="E275" s="5" t="s">
        <v>150</v>
      </c>
      <c r="F275" s="5" t="s">
        <v>16</v>
      </c>
      <c r="G275" s="7">
        <v>45944</v>
      </c>
      <c r="H275" s="7">
        <v>45944</v>
      </c>
      <c r="I275" s="5" t="s">
        <v>165</v>
      </c>
      <c r="J275" s="4" cm="1">
        <f t="array" ref="J27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75" s="5" t="str">
        <f>IF(Table1[[#This Row],[Unit''s Leave Quota]]&lt;=6, "Approved", "Quota Exceeded")</f>
        <v>Approved</v>
      </c>
      <c r="L275" s="5"/>
      <c r="M275" t="s">
        <v>152</v>
      </c>
    </row>
    <row r="276" spans="1:13" hidden="1" x14ac:dyDescent="0.3">
      <c r="A276" s="6">
        <v>45940</v>
      </c>
      <c r="B276" t="s">
        <v>12</v>
      </c>
      <c r="C276" t="s">
        <v>281</v>
      </c>
      <c r="D276" t="s">
        <v>282</v>
      </c>
      <c r="E276" s="5" t="s">
        <v>264</v>
      </c>
      <c r="F276" s="5" t="s">
        <v>16</v>
      </c>
      <c r="G276" s="7">
        <v>45955</v>
      </c>
      <c r="H276" s="7">
        <v>45955</v>
      </c>
      <c r="I276" s="5" t="s">
        <v>239</v>
      </c>
      <c r="J276" s="4" cm="1">
        <f t="array" ref="J27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76" s="5" t="str">
        <f>IF(Table1[[#This Row],[Unit''s Leave Quota]]&lt;=6, "Approved", "Quota Exceeded")</f>
        <v>Approved</v>
      </c>
      <c r="L276" s="5"/>
      <c r="M276" t="s">
        <v>283</v>
      </c>
    </row>
    <row r="277" spans="1:13" hidden="1" x14ac:dyDescent="0.3">
      <c r="A277" s="6">
        <v>45940</v>
      </c>
      <c r="B277" t="s">
        <v>12</v>
      </c>
      <c r="C277" t="s">
        <v>284</v>
      </c>
      <c r="D277" t="s">
        <v>42</v>
      </c>
      <c r="E277" s="5" t="s">
        <v>285</v>
      </c>
      <c r="F277" s="5" t="s">
        <v>16</v>
      </c>
      <c r="G277" s="7">
        <v>45982</v>
      </c>
      <c r="H277" s="7">
        <v>45985</v>
      </c>
      <c r="I277" s="5" t="s">
        <v>239</v>
      </c>
      <c r="J277" s="4" cm="1">
        <f t="array" ref="J27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77" s="5" t="str">
        <f>IF(Table1[[#This Row],[Unit''s Leave Quota]]&lt;=6, "Approved", "Quota Exceeded")</f>
        <v>Approved</v>
      </c>
      <c r="L277" s="5"/>
      <c r="M277" t="s">
        <v>286</v>
      </c>
    </row>
    <row r="278" spans="1:13" x14ac:dyDescent="0.3">
      <c r="A278" s="6">
        <v>45940</v>
      </c>
      <c r="B278" t="s">
        <v>12</v>
      </c>
      <c r="C278" t="s">
        <v>281</v>
      </c>
      <c r="D278" t="s">
        <v>282</v>
      </c>
      <c r="E278" s="5" t="s">
        <v>264</v>
      </c>
      <c r="F278" s="5" t="s">
        <v>16</v>
      </c>
      <c r="G278" s="7">
        <v>46026</v>
      </c>
      <c r="H278" s="7">
        <v>46026</v>
      </c>
      <c r="I278" s="5" t="s">
        <v>239</v>
      </c>
      <c r="J278" s="4" cm="1">
        <f t="array" ref="J27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278" s="5" t="str">
        <f>IF(Table1[[#This Row],[Unit''s Leave Quota]]&lt;=6, "Approved", "Quota Exceeded")</f>
        <v>Approved</v>
      </c>
      <c r="L278" s="5"/>
      <c r="M278" t="s">
        <v>287</v>
      </c>
    </row>
    <row r="279" spans="1:13" hidden="1" x14ac:dyDescent="0.3">
      <c r="A279" s="6">
        <v>45942</v>
      </c>
      <c r="B279" t="s">
        <v>12</v>
      </c>
      <c r="C279" t="s">
        <v>13</v>
      </c>
      <c r="D279" t="s">
        <v>288</v>
      </c>
      <c r="E279" s="5" t="s">
        <v>289</v>
      </c>
      <c r="F279" s="5" t="s">
        <v>16</v>
      </c>
      <c r="G279" s="7">
        <v>45974</v>
      </c>
      <c r="H279" s="7">
        <v>45977</v>
      </c>
      <c r="I279" s="5" t="s">
        <v>81</v>
      </c>
      <c r="J279" s="4" cm="1">
        <f t="array" ref="J27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279" s="5" t="str">
        <f>IF(Table1[[#This Row],[Unit''s Leave Quota]]&lt;=6, "Approved", "Quota Exceeded")</f>
        <v>Approved</v>
      </c>
      <c r="L279" s="5"/>
      <c r="M279" t="s">
        <v>290</v>
      </c>
    </row>
    <row r="280" spans="1:13" hidden="1" x14ac:dyDescent="0.3">
      <c r="A280" s="6">
        <v>45944</v>
      </c>
      <c r="B280" t="s">
        <v>12</v>
      </c>
      <c r="C280" t="s">
        <v>291</v>
      </c>
      <c r="D280" t="s">
        <v>292</v>
      </c>
      <c r="E280" s="5" t="s">
        <v>80</v>
      </c>
      <c r="F280" s="5" t="s">
        <v>16</v>
      </c>
      <c r="G280" s="7">
        <v>45944</v>
      </c>
      <c r="H280" s="7">
        <v>45944</v>
      </c>
      <c r="I280" s="5" t="s">
        <v>199</v>
      </c>
      <c r="J280" s="4" cm="1">
        <f t="array" ref="J28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80" s="5" t="str">
        <f>IF(Table1[[#This Row],[Unit''s Leave Quota]]&lt;=6, "Approved", "Quota Exceeded")</f>
        <v>Approved</v>
      </c>
      <c r="L280" s="5"/>
      <c r="M280" t="s">
        <v>179</v>
      </c>
    </row>
    <row r="281" spans="1:13" hidden="1" x14ac:dyDescent="0.3">
      <c r="A281" s="6">
        <v>45944</v>
      </c>
      <c r="B281" t="s">
        <v>12</v>
      </c>
      <c r="C281" t="s">
        <v>173</v>
      </c>
      <c r="D281" t="s">
        <v>202</v>
      </c>
      <c r="E281" s="5" t="s">
        <v>77</v>
      </c>
      <c r="F281" s="5" t="s">
        <v>16</v>
      </c>
      <c r="G281" s="7">
        <v>45945</v>
      </c>
      <c r="H281" s="7">
        <v>45945</v>
      </c>
      <c r="I281" s="5" t="s">
        <v>30</v>
      </c>
      <c r="J281" s="4" cm="1">
        <f t="array" ref="J28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81" s="5" t="str">
        <f>IF(Table1[[#This Row],[Unit''s Leave Quota]]&lt;=6, "Approved", "Quota Exceeded")</f>
        <v>Approved</v>
      </c>
      <c r="L281" s="5"/>
      <c r="M281" t="s">
        <v>293</v>
      </c>
    </row>
    <row r="282" spans="1:13" hidden="1" x14ac:dyDescent="0.3">
      <c r="A282" s="6">
        <v>45944</v>
      </c>
      <c r="B282" t="s">
        <v>12</v>
      </c>
      <c r="C282" t="s">
        <v>210</v>
      </c>
      <c r="D282" t="s">
        <v>170</v>
      </c>
      <c r="E282" s="5" t="s">
        <v>294</v>
      </c>
      <c r="F282" s="5" t="s">
        <v>16</v>
      </c>
      <c r="G282" s="7">
        <v>46002</v>
      </c>
      <c r="H282" s="7">
        <v>46007</v>
      </c>
      <c r="I282" s="5" t="s">
        <v>212</v>
      </c>
      <c r="J282" s="4" cm="1">
        <f t="array" ref="J28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82" s="5" t="str">
        <f>IF(Table1[[#This Row],[Unit''s Leave Quota]]&lt;=6, "Approved", "Quota Exceeded")</f>
        <v>Approved</v>
      </c>
      <c r="L282" s="5"/>
      <c r="M282" t="s">
        <v>152</v>
      </c>
    </row>
    <row r="283" spans="1:13" hidden="1" x14ac:dyDescent="0.3">
      <c r="A283" s="6">
        <v>45945</v>
      </c>
      <c r="B283" t="s">
        <v>12</v>
      </c>
      <c r="C283" t="s">
        <v>55</v>
      </c>
      <c r="D283" t="s">
        <v>220</v>
      </c>
      <c r="E283" s="5" t="s">
        <v>150</v>
      </c>
      <c r="F283" s="5" t="s">
        <v>16</v>
      </c>
      <c r="G283" s="7">
        <v>45945</v>
      </c>
      <c r="H283" s="7">
        <v>45945</v>
      </c>
      <c r="I283" s="5" t="s">
        <v>165</v>
      </c>
      <c r="J283" s="4" cm="1">
        <f t="array" ref="J28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83" s="5" t="str">
        <f>IF(Table1[[#This Row],[Unit''s Leave Quota]]&lt;=6, "Approved", "Quota Exceeded")</f>
        <v>Approved</v>
      </c>
      <c r="L283" s="5"/>
      <c r="M283" t="s">
        <v>152</v>
      </c>
    </row>
    <row r="284" spans="1:13" hidden="1" x14ac:dyDescent="0.3">
      <c r="A284" s="6">
        <v>45946</v>
      </c>
      <c r="B284" t="s">
        <v>12</v>
      </c>
      <c r="C284" t="s">
        <v>13</v>
      </c>
      <c r="D284" t="s">
        <v>245</v>
      </c>
      <c r="E284" s="5" t="s">
        <v>80</v>
      </c>
      <c r="F284" s="5" t="s">
        <v>16</v>
      </c>
      <c r="G284" s="7">
        <v>45946</v>
      </c>
      <c r="H284" s="7">
        <v>45947</v>
      </c>
      <c r="I284" s="5" t="s">
        <v>30</v>
      </c>
      <c r="J284" s="4" cm="1">
        <f t="array" ref="J28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284" s="5" t="str">
        <f>IF(Table1[[#This Row],[Unit''s Leave Quota]]&lt;=6, "Approved", "Quota Exceeded")</f>
        <v>Approved</v>
      </c>
      <c r="L284" s="5"/>
      <c r="M284" t="s">
        <v>152</v>
      </c>
    </row>
    <row r="285" spans="1:13" hidden="1" x14ac:dyDescent="0.3">
      <c r="A285" s="6">
        <v>45946</v>
      </c>
      <c r="B285" t="s">
        <v>12</v>
      </c>
      <c r="C285" t="s">
        <v>242</v>
      </c>
      <c r="D285" t="s">
        <v>239</v>
      </c>
      <c r="E285" s="5" t="s">
        <v>295</v>
      </c>
      <c r="F285" s="5" t="s">
        <v>16</v>
      </c>
      <c r="G285" s="7">
        <v>45997</v>
      </c>
      <c r="H285" s="7">
        <v>46008</v>
      </c>
      <c r="I285" s="5" t="s">
        <v>244</v>
      </c>
      <c r="J285" s="4" cm="1">
        <f t="array" ref="J28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85" s="5" t="str">
        <f>IF(Table1[[#This Row],[Unit''s Leave Quota]]&lt;=6, "Approved", "Quota Exceeded")</f>
        <v>Approved</v>
      </c>
      <c r="L285" s="5"/>
      <c r="M285" t="s">
        <v>296</v>
      </c>
    </row>
    <row r="286" spans="1:13" hidden="1" x14ac:dyDescent="0.3">
      <c r="A286" s="6">
        <v>45950</v>
      </c>
      <c r="B286" t="s">
        <v>12</v>
      </c>
      <c r="C286" t="s">
        <v>22</v>
      </c>
      <c r="D286" t="s">
        <v>297</v>
      </c>
      <c r="E286" s="5" t="s">
        <v>77</v>
      </c>
      <c r="F286" s="5" t="s">
        <v>16</v>
      </c>
      <c r="G286" s="7">
        <v>45951</v>
      </c>
      <c r="H286" s="7">
        <v>45951</v>
      </c>
      <c r="I286" s="5" t="s">
        <v>108</v>
      </c>
      <c r="J286" s="4" cm="1">
        <f t="array" ref="J28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286" s="5" t="str">
        <f>IF(Table1[[#This Row],[Unit''s Leave Quota]]&lt;=6, "Approved", "Quota Exceeded")</f>
        <v>Approved</v>
      </c>
      <c r="L286" s="5"/>
      <c r="M286" t="s">
        <v>155</v>
      </c>
    </row>
    <row r="287" spans="1:13" hidden="1" x14ac:dyDescent="0.3">
      <c r="A287" s="6">
        <v>45951</v>
      </c>
      <c r="B287" t="s">
        <v>12</v>
      </c>
      <c r="C287" t="s">
        <v>195</v>
      </c>
      <c r="D287" t="s">
        <v>228</v>
      </c>
      <c r="E287" s="5" t="s">
        <v>150</v>
      </c>
      <c r="F287" s="5" t="s">
        <v>16</v>
      </c>
      <c r="G287" s="7">
        <v>45952</v>
      </c>
      <c r="H287" s="7">
        <v>45952</v>
      </c>
      <c r="I287" s="5" t="s">
        <v>30</v>
      </c>
      <c r="J287" s="4" cm="1">
        <f t="array" ref="J28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287" s="5" t="str">
        <f>IF(Table1[[#This Row],[Unit''s Leave Quota]]&lt;=6, "Approved", "Quota Exceeded")</f>
        <v>Approved</v>
      </c>
      <c r="L287" s="5"/>
      <c r="M287" t="s">
        <v>203</v>
      </c>
    </row>
    <row r="288" spans="1:13" hidden="1" x14ac:dyDescent="0.3">
      <c r="A288" s="6">
        <v>45953</v>
      </c>
      <c r="B288" t="s">
        <v>12</v>
      </c>
      <c r="C288" t="s">
        <v>22</v>
      </c>
      <c r="D288" t="s">
        <v>51</v>
      </c>
      <c r="E288" s="5" t="s">
        <v>77</v>
      </c>
      <c r="F288" s="5" t="s">
        <v>16</v>
      </c>
      <c r="G288" s="7">
        <v>45954</v>
      </c>
      <c r="H288" s="7">
        <v>45954</v>
      </c>
      <c r="I288" s="5" t="s">
        <v>160</v>
      </c>
      <c r="J288" s="4" cm="1">
        <f t="array" ref="J28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288" s="5" t="str">
        <f>IF(Table1[[#This Row],[Unit''s Leave Quota]]&lt;=6, "Approved", "Quota Exceeded")</f>
        <v>Approved</v>
      </c>
      <c r="L288" s="5"/>
      <c r="M288" t="s">
        <v>219</v>
      </c>
    </row>
    <row r="289" spans="1:13" hidden="1" x14ac:dyDescent="0.3">
      <c r="A289" s="6">
        <v>45954</v>
      </c>
      <c r="B289" t="s">
        <v>12</v>
      </c>
      <c r="C289" t="s">
        <v>197</v>
      </c>
      <c r="D289" t="s">
        <v>47</v>
      </c>
      <c r="E289" s="5" t="s">
        <v>77</v>
      </c>
      <c r="F289" s="5" t="s">
        <v>16</v>
      </c>
      <c r="G289" s="7">
        <v>45954</v>
      </c>
      <c r="H289" s="7">
        <v>45954</v>
      </c>
      <c r="I289" s="5" t="s">
        <v>81</v>
      </c>
      <c r="J289" s="4" cm="1">
        <f t="array" ref="J28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289" s="5" t="str">
        <f>IF(Table1[[#This Row],[Unit''s Leave Quota]]&lt;=6, "Approved", "Quota Exceeded")</f>
        <v>Approved</v>
      </c>
      <c r="L289" s="5"/>
      <c r="M289" t="s">
        <v>216</v>
      </c>
    </row>
    <row r="290" spans="1:13" hidden="1" x14ac:dyDescent="0.3">
      <c r="A290" s="6">
        <v>45954</v>
      </c>
      <c r="B290" t="s">
        <v>12</v>
      </c>
      <c r="C290" t="s">
        <v>13</v>
      </c>
      <c r="D290" t="s">
        <v>84</v>
      </c>
      <c r="E290" s="5" t="s">
        <v>187</v>
      </c>
      <c r="F290" s="5" t="s">
        <v>16</v>
      </c>
      <c r="G290" s="7">
        <v>45954</v>
      </c>
      <c r="H290" s="7">
        <v>45956</v>
      </c>
      <c r="I290" s="5" t="s">
        <v>108</v>
      </c>
      <c r="J290" s="4" cm="1">
        <f t="array" ref="J29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290" s="5" t="str">
        <f>IF(Table1[[#This Row],[Unit''s Leave Quota]]&lt;=6, "Approved", "Quota Exceeded")</f>
        <v>Approved</v>
      </c>
      <c r="L290" s="5"/>
      <c r="M290" t="s">
        <v>155</v>
      </c>
    </row>
    <row r="291" spans="1:13" hidden="1" x14ac:dyDescent="0.3">
      <c r="A291" s="6">
        <v>45954</v>
      </c>
      <c r="B291" t="s">
        <v>12</v>
      </c>
      <c r="C291" t="s">
        <v>22</v>
      </c>
      <c r="D291" t="s">
        <v>180</v>
      </c>
      <c r="E291" s="5" t="s">
        <v>77</v>
      </c>
      <c r="F291" s="5" t="s">
        <v>16</v>
      </c>
      <c r="G291" s="7">
        <v>45983</v>
      </c>
      <c r="H291" s="7">
        <v>45983</v>
      </c>
      <c r="I291" s="5" t="s">
        <v>160</v>
      </c>
      <c r="J291" s="4" cm="1">
        <f t="array" ref="J29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91" s="5" t="str">
        <f>IF(Table1[[#This Row],[Unit''s Leave Quota]]&lt;=6, "Approved", "Quota Exceeded")</f>
        <v>Approved</v>
      </c>
      <c r="L291" s="5"/>
      <c r="M291" t="s">
        <v>219</v>
      </c>
    </row>
    <row r="292" spans="1:13" hidden="1" x14ac:dyDescent="0.3">
      <c r="A292" s="6">
        <v>45955</v>
      </c>
      <c r="B292" t="s">
        <v>12</v>
      </c>
      <c r="C292" t="s">
        <v>210</v>
      </c>
      <c r="D292" t="s">
        <v>170</v>
      </c>
      <c r="E292" s="5" t="s">
        <v>294</v>
      </c>
      <c r="F292" s="5" t="s">
        <v>16</v>
      </c>
      <c r="G292" s="7">
        <v>46008</v>
      </c>
      <c r="H292" s="7">
        <v>46008</v>
      </c>
      <c r="I292" s="5" t="s">
        <v>212</v>
      </c>
      <c r="J292" s="4" cm="1">
        <f t="array" ref="J29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92" s="5" t="str">
        <f>IF(Table1[[#This Row],[Unit''s Leave Quota]]&lt;=6, "Approved", "Quota Exceeded")</f>
        <v>Approved</v>
      </c>
      <c r="L292" s="5"/>
      <c r="M292" t="s">
        <v>298</v>
      </c>
    </row>
    <row r="293" spans="1:13" hidden="1" x14ac:dyDescent="0.3">
      <c r="A293" s="6">
        <v>45957</v>
      </c>
      <c r="B293" t="s">
        <v>12</v>
      </c>
      <c r="C293" t="s">
        <v>173</v>
      </c>
      <c r="D293" t="s">
        <v>202</v>
      </c>
      <c r="E293" s="5" t="s">
        <v>259</v>
      </c>
      <c r="F293" s="5" t="s">
        <v>16</v>
      </c>
      <c r="G293" s="7">
        <v>45958</v>
      </c>
      <c r="H293" s="7">
        <v>45958</v>
      </c>
      <c r="I293" s="5" t="s">
        <v>30</v>
      </c>
      <c r="J293" s="4" cm="1">
        <f t="array" ref="J29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293" s="5" t="str">
        <f>IF(Table1[[#This Row],[Unit''s Leave Quota]]&lt;=6, "Approved", "Quota Exceeded")</f>
        <v>Approved</v>
      </c>
      <c r="L293" s="5"/>
      <c r="M293" t="s">
        <v>203</v>
      </c>
    </row>
    <row r="294" spans="1:13" hidden="1" x14ac:dyDescent="0.3">
      <c r="A294" s="6">
        <v>45959</v>
      </c>
      <c r="B294" t="s">
        <v>12</v>
      </c>
      <c r="C294" t="s">
        <v>22</v>
      </c>
      <c r="D294" t="s">
        <v>132</v>
      </c>
      <c r="E294" s="5" t="s">
        <v>77</v>
      </c>
      <c r="F294" s="5" t="s">
        <v>16</v>
      </c>
      <c r="G294" s="7">
        <v>45959</v>
      </c>
      <c r="H294" s="7">
        <v>45959</v>
      </c>
      <c r="I294" s="5" t="s">
        <v>108</v>
      </c>
      <c r="J294" s="4" cm="1">
        <f t="array" ref="J29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294" s="5" t="str">
        <f>IF(Table1[[#This Row],[Unit''s Leave Quota]]&lt;=6, "Approved", "Quota Exceeded")</f>
        <v>Approved</v>
      </c>
      <c r="L294" s="5"/>
      <c r="M294" t="s">
        <v>155</v>
      </c>
    </row>
    <row r="295" spans="1:13" hidden="1" x14ac:dyDescent="0.3">
      <c r="A295" s="6">
        <v>45959</v>
      </c>
      <c r="B295" t="s">
        <v>12</v>
      </c>
      <c r="C295" t="s">
        <v>13</v>
      </c>
      <c r="D295" t="s">
        <v>84</v>
      </c>
      <c r="E295" s="5" t="s">
        <v>77</v>
      </c>
      <c r="F295" s="5" t="s">
        <v>16</v>
      </c>
      <c r="G295" s="7">
        <v>45961</v>
      </c>
      <c r="H295" s="7">
        <v>45963</v>
      </c>
      <c r="I295" s="5" t="s">
        <v>108</v>
      </c>
      <c r="J295" s="4" cm="1">
        <f t="array" ref="J29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95" s="5" t="str">
        <f>IF(Table1[[#This Row],[Unit''s Leave Quota]]&lt;=6, "Approved", "Quota Exceeded")</f>
        <v>Approved</v>
      </c>
      <c r="L295" s="5"/>
      <c r="M295" t="s">
        <v>155</v>
      </c>
    </row>
    <row r="296" spans="1:13" hidden="1" x14ac:dyDescent="0.3">
      <c r="A296" s="6">
        <v>45959</v>
      </c>
      <c r="B296" t="s">
        <v>12</v>
      </c>
      <c r="C296" t="s">
        <v>13</v>
      </c>
      <c r="D296" t="s">
        <v>84</v>
      </c>
      <c r="E296" s="5" t="s">
        <v>77</v>
      </c>
      <c r="F296" s="5" t="s">
        <v>16</v>
      </c>
      <c r="G296" s="7">
        <v>45989</v>
      </c>
      <c r="H296" s="7">
        <v>45991</v>
      </c>
      <c r="I296" s="5" t="s">
        <v>108</v>
      </c>
      <c r="J296" s="4" cm="1">
        <f t="array" ref="J29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296" s="5" t="str">
        <f>IF(Table1[[#This Row],[Unit''s Leave Quota]]&lt;=6, "Approved", "Quota Exceeded")</f>
        <v>Approved</v>
      </c>
      <c r="L296" s="5"/>
      <c r="M296" t="s">
        <v>155</v>
      </c>
    </row>
    <row r="297" spans="1:13" hidden="1" x14ac:dyDescent="0.3">
      <c r="A297" s="6">
        <v>45962</v>
      </c>
      <c r="B297" t="s">
        <v>12</v>
      </c>
      <c r="C297" t="s">
        <v>55</v>
      </c>
      <c r="D297" t="s">
        <v>220</v>
      </c>
      <c r="E297" s="5" t="s">
        <v>150</v>
      </c>
      <c r="F297" s="5" t="s">
        <v>16</v>
      </c>
      <c r="G297" s="7">
        <v>45962</v>
      </c>
      <c r="H297" s="7">
        <v>45962</v>
      </c>
      <c r="I297" s="5" t="s">
        <v>165</v>
      </c>
      <c r="J297" s="4" cm="1">
        <f t="array" ref="J29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297" s="5" t="str">
        <f>IF(Table1[[#This Row],[Unit''s Leave Quota]]&lt;=6, "Approved", "Quota Exceeded")</f>
        <v>Approved</v>
      </c>
      <c r="L297" s="5"/>
      <c r="M297" t="s">
        <v>152</v>
      </c>
    </row>
    <row r="298" spans="1:13" hidden="1" x14ac:dyDescent="0.3">
      <c r="A298" s="6">
        <v>45964</v>
      </c>
      <c r="B298" t="s">
        <v>12</v>
      </c>
      <c r="C298" t="s">
        <v>22</v>
      </c>
      <c r="D298" t="s">
        <v>51</v>
      </c>
      <c r="E298" s="5" t="s">
        <v>77</v>
      </c>
      <c r="F298" s="5" t="s">
        <v>16</v>
      </c>
      <c r="G298" s="7">
        <v>45965</v>
      </c>
      <c r="H298" s="7">
        <v>45965</v>
      </c>
      <c r="I298" s="5" t="s">
        <v>160</v>
      </c>
      <c r="J298" s="4" cm="1">
        <f t="array" ref="J29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298" s="5" t="str">
        <f>IF(Table1[[#This Row],[Unit''s Leave Quota]]&lt;=6, "Approved", "Quota Exceeded")</f>
        <v>Approved</v>
      </c>
      <c r="L298" s="5"/>
      <c r="M298" t="s">
        <v>219</v>
      </c>
    </row>
    <row r="299" spans="1:13" hidden="1" x14ac:dyDescent="0.3">
      <c r="A299" s="6">
        <v>45965</v>
      </c>
      <c r="B299" t="s">
        <v>12</v>
      </c>
      <c r="C299" t="s">
        <v>197</v>
      </c>
      <c r="D299" t="s">
        <v>47</v>
      </c>
      <c r="E299" s="5" t="s">
        <v>77</v>
      </c>
      <c r="F299" s="5" t="s">
        <v>16</v>
      </c>
      <c r="G299" s="7">
        <v>45965</v>
      </c>
      <c r="H299" s="7">
        <v>45965</v>
      </c>
      <c r="I299" s="5" t="s">
        <v>199</v>
      </c>
      <c r="J299" s="4" cm="1">
        <f t="array" ref="J29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299" s="5" t="str">
        <f>IF(Table1[[#This Row],[Unit''s Leave Quota]]&lt;=6, "Approved", "Quota Exceeded")</f>
        <v>Approved</v>
      </c>
      <c r="L299" s="5"/>
      <c r="M299" t="s">
        <v>205</v>
      </c>
    </row>
    <row r="300" spans="1:13" hidden="1" x14ac:dyDescent="0.3">
      <c r="A300" s="6">
        <v>45965</v>
      </c>
      <c r="B300" t="s">
        <v>12</v>
      </c>
      <c r="C300" t="s">
        <v>173</v>
      </c>
      <c r="D300" t="s">
        <v>202</v>
      </c>
      <c r="E300" s="5" t="s">
        <v>259</v>
      </c>
      <c r="F300" s="5" t="s">
        <v>16</v>
      </c>
      <c r="G300" s="7">
        <v>45965</v>
      </c>
      <c r="H300" s="7">
        <v>45965</v>
      </c>
      <c r="I300" s="5" t="s">
        <v>254</v>
      </c>
      <c r="J300" s="4" cm="1">
        <f t="array" ref="J30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300" s="5" t="str">
        <f>IF(Table1[[#This Row],[Unit''s Leave Quota]]&lt;=6, "Approved", "Quota Exceeded")</f>
        <v>Approved</v>
      </c>
      <c r="L300" s="5"/>
      <c r="M300" t="s">
        <v>260</v>
      </c>
    </row>
    <row r="301" spans="1:13" hidden="1" x14ac:dyDescent="0.3">
      <c r="A301" s="6">
        <v>45969</v>
      </c>
      <c r="B301" t="s">
        <v>12</v>
      </c>
      <c r="C301" t="s">
        <v>13</v>
      </c>
      <c r="D301" t="s">
        <v>245</v>
      </c>
      <c r="E301" s="5" t="s">
        <v>276</v>
      </c>
      <c r="F301" s="5" t="s">
        <v>16</v>
      </c>
      <c r="G301" s="7">
        <v>45969</v>
      </c>
      <c r="H301" s="7">
        <v>45969</v>
      </c>
      <c r="I301" s="5" t="s">
        <v>199</v>
      </c>
      <c r="J301" s="4" cm="1">
        <f t="array" ref="J30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301" s="5" t="str">
        <f>IF(Table1[[#This Row],[Unit''s Leave Quota]]&lt;=6, "Approved", "Quota Exceeded")</f>
        <v>Approved</v>
      </c>
      <c r="L301" s="5"/>
      <c r="M301" t="s">
        <v>152</v>
      </c>
    </row>
    <row r="302" spans="1:13" hidden="1" x14ac:dyDescent="0.3">
      <c r="A302" s="6">
        <v>45970</v>
      </c>
      <c r="B302" t="s">
        <v>12</v>
      </c>
      <c r="C302" t="s">
        <v>173</v>
      </c>
      <c r="D302" t="s">
        <v>228</v>
      </c>
      <c r="E302" s="5" t="s">
        <v>150</v>
      </c>
      <c r="F302" s="5" t="s">
        <v>16</v>
      </c>
      <c r="G302" s="7">
        <v>45971</v>
      </c>
      <c r="H302" s="7">
        <v>45971</v>
      </c>
      <c r="I302" s="5" t="s">
        <v>30</v>
      </c>
      <c r="J302" s="4" cm="1">
        <f t="array" ref="J30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302" s="5" t="str">
        <f>IF(Table1[[#This Row],[Unit''s Leave Quota]]&lt;=6, "Approved", "Quota Exceeded")</f>
        <v>Approved</v>
      </c>
      <c r="L302" s="5"/>
      <c r="M302" t="s">
        <v>260</v>
      </c>
    </row>
    <row r="303" spans="1:13" hidden="1" x14ac:dyDescent="0.3">
      <c r="A303" s="6">
        <v>45973</v>
      </c>
      <c r="B303" t="s">
        <v>12</v>
      </c>
      <c r="C303" t="s">
        <v>173</v>
      </c>
      <c r="D303" t="s">
        <v>266</v>
      </c>
      <c r="E303" s="5" t="s">
        <v>264</v>
      </c>
      <c r="F303" s="5" t="s">
        <v>16</v>
      </c>
      <c r="G303" s="7">
        <v>45974</v>
      </c>
      <c r="H303" s="7">
        <v>45974</v>
      </c>
      <c r="I303" s="5" t="s">
        <v>108</v>
      </c>
      <c r="J303" s="4">
        <v>4</v>
      </c>
      <c r="K303" s="5" t="s">
        <v>190</v>
      </c>
      <c r="L303" s="5"/>
      <c r="M303" t="s">
        <v>155</v>
      </c>
    </row>
    <row r="304" spans="1:13" hidden="1" x14ac:dyDescent="0.3">
      <c r="A304" s="6">
        <v>45974</v>
      </c>
      <c r="B304" t="s">
        <v>12</v>
      </c>
      <c r="C304" t="s">
        <v>197</v>
      </c>
      <c r="D304" t="s">
        <v>47</v>
      </c>
      <c r="E304" s="5" t="s">
        <v>77</v>
      </c>
      <c r="F304" s="5" t="s">
        <v>16</v>
      </c>
      <c r="G304" s="7">
        <v>45974</v>
      </c>
      <c r="H304" s="7">
        <v>45974</v>
      </c>
      <c r="I304" s="5" t="s">
        <v>199</v>
      </c>
      <c r="J304" s="4" cm="1">
        <f t="array" ref="J30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304" s="5" t="str">
        <f>IF(Table1[[#This Row],[Unit''s Leave Quota]]&lt;=6, "Approved", "Quota Exceeded")</f>
        <v>Approved</v>
      </c>
      <c r="L304" s="5"/>
      <c r="M304" t="s">
        <v>274</v>
      </c>
    </row>
    <row r="305" spans="1:13" hidden="1" x14ac:dyDescent="0.3">
      <c r="A305" s="6">
        <v>45975</v>
      </c>
      <c r="B305" t="s">
        <v>12</v>
      </c>
      <c r="C305" t="s">
        <v>263</v>
      </c>
      <c r="D305" t="s">
        <v>42</v>
      </c>
      <c r="E305" s="5" t="s">
        <v>264</v>
      </c>
      <c r="F305" s="5" t="s">
        <v>16</v>
      </c>
      <c r="G305" s="7">
        <v>45975</v>
      </c>
      <c r="H305" s="7">
        <v>45975</v>
      </c>
      <c r="I305" s="5" t="s">
        <v>239</v>
      </c>
      <c r="J305" s="4" cm="1">
        <f t="array" ref="J30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305" s="5" t="str">
        <f>IF(Table1[[#This Row],[Unit''s Leave Quota]]&lt;=6, "Approved", "Quota Exceeded")</f>
        <v>Approved</v>
      </c>
      <c r="L305" s="5"/>
      <c r="M305" t="s">
        <v>299</v>
      </c>
    </row>
    <row r="306" spans="1:13" x14ac:dyDescent="0.3">
      <c r="A306" s="6">
        <v>45975</v>
      </c>
      <c r="B306" t="s">
        <v>12</v>
      </c>
      <c r="C306" t="s">
        <v>22</v>
      </c>
      <c r="D306" t="s">
        <v>134</v>
      </c>
      <c r="E306" s="5" t="s">
        <v>54</v>
      </c>
      <c r="F306" s="5" t="s">
        <v>16</v>
      </c>
      <c r="G306" s="7">
        <v>46068</v>
      </c>
      <c r="H306" s="7">
        <v>46071</v>
      </c>
      <c r="I306" s="5" t="s">
        <v>239</v>
      </c>
      <c r="J306" s="4" cm="1">
        <f t="array" ref="J30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306" s="5" t="str">
        <f>IF(Table1[[#This Row],[Unit''s Leave Quota]]&lt;=6, "Approved", "Quota Exceeded")</f>
        <v>Approved</v>
      </c>
      <c r="L306" s="5"/>
      <c r="M306" t="s">
        <v>155</v>
      </c>
    </row>
    <row r="307" spans="1:13" hidden="1" x14ac:dyDescent="0.3">
      <c r="A307" s="6">
        <v>45977</v>
      </c>
      <c r="B307" t="s">
        <v>12</v>
      </c>
      <c r="C307" t="s">
        <v>173</v>
      </c>
      <c r="D307" t="s">
        <v>300</v>
      </c>
      <c r="E307" s="5" t="s">
        <v>139</v>
      </c>
      <c r="F307" s="5" t="s">
        <v>16</v>
      </c>
      <c r="G307" s="7">
        <v>45978</v>
      </c>
      <c r="H307" s="7">
        <v>45978</v>
      </c>
      <c r="I307" s="5" t="s">
        <v>30</v>
      </c>
      <c r="J307" s="4" cm="1">
        <f t="array" ref="J30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307" s="5" t="str">
        <f>IF(Table1[[#This Row],[Unit''s Leave Quota]]&lt;=6, "Approved", "Quota Exceeded")</f>
        <v>Approved</v>
      </c>
      <c r="L307" s="5"/>
      <c r="M307" t="s">
        <v>301</v>
      </c>
    </row>
    <row r="308" spans="1:13" x14ac:dyDescent="0.3">
      <c r="A308" s="6">
        <v>45977</v>
      </c>
      <c r="B308" t="s">
        <v>12</v>
      </c>
      <c r="C308" t="s">
        <v>50</v>
      </c>
      <c r="D308" t="s">
        <v>282</v>
      </c>
      <c r="E308" s="5" t="s">
        <v>255</v>
      </c>
      <c r="F308" s="5" t="s">
        <v>16</v>
      </c>
      <c r="G308" s="7">
        <v>46023</v>
      </c>
      <c r="H308" s="7">
        <v>46025</v>
      </c>
      <c r="I308" s="5" t="s">
        <v>239</v>
      </c>
      <c r="J308" s="4" cm="1">
        <f t="array" ref="J30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308" s="5" t="str">
        <f>IF(Table1[[#This Row],[Unit''s Leave Quota]]&lt;=6, "Approved", "Quota Exceeded")</f>
        <v>Approved</v>
      </c>
      <c r="L308" s="5"/>
      <c r="M308" t="s">
        <v>302</v>
      </c>
    </row>
    <row r="309" spans="1:13" hidden="1" x14ac:dyDescent="0.3">
      <c r="A309" s="6">
        <v>45978</v>
      </c>
      <c r="B309" t="s">
        <v>12</v>
      </c>
      <c r="C309" t="s">
        <v>22</v>
      </c>
      <c r="D309" t="s">
        <v>266</v>
      </c>
      <c r="E309" s="5" t="s">
        <v>187</v>
      </c>
      <c r="F309" s="5" t="s">
        <v>16</v>
      </c>
      <c r="G309" s="7">
        <v>45979</v>
      </c>
      <c r="H309" s="7">
        <v>45979</v>
      </c>
      <c r="I309" s="5" t="s">
        <v>108</v>
      </c>
      <c r="J309" s="4" cm="1">
        <f t="array" ref="J30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309" s="5" t="str">
        <f>IF(Table1[[#This Row],[Unit''s Leave Quota]]&lt;=6, "Approved", "Quota Exceeded")</f>
        <v>Approved</v>
      </c>
      <c r="L309" s="5"/>
      <c r="M309" t="s">
        <v>172</v>
      </c>
    </row>
    <row r="310" spans="1:13" hidden="1" x14ac:dyDescent="0.3">
      <c r="A310" s="6">
        <v>45978</v>
      </c>
      <c r="B310" t="s">
        <v>12</v>
      </c>
      <c r="C310" t="s">
        <v>22</v>
      </c>
      <c r="D310" t="s">
        <v>140</v>
      </c>
      <c r="E310" s="5" t="s">
        <v>150</v>
      </c>
      <c r="F310" s="5" t="s">
        <v>16</v>
      </c>
      <c r="G310" s="7">
        <v>45981</v>
      </c>
      <c r="H310" s="7">
        <v>45981</v>
      </c>
      <c r="I310" s="5" t="s">
        <v>165</v>
      </c>
      <c r="J310" s="4" cm="1">
        <f t="array" ref="J31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310" s="5" t="str">
        <f>IF(Table1[[#This Row],[Unit''s Leave Quota]]&lt;=6, "Approved", "Quota Exceeded")</f>
        <v>Approved</v>
      </c>
      <c r="L310" s="5"/>
      <c r="M310" t="s">
        <v>152</v>
      </c>
    </row>
    <row r="311" spans="1:13" hidden="1" x14ac:dyDescent="0.3">
      <c r="A311" s="6">
        <v>45978</v>
      </c>
      <c r="B311" t="s">
        <v>12</v>
      </c>
      <c r="C311" t="s">
        <v>221</v>
      </c>
      <c r="D311" t="s">
        <v>132</v>
      </c>
      <c r="E311" s="5" t="s">
        <v>187</v>
      </c>
      <c r="F311" s="5" t="s">
        <v>16</v>
      </c>
      <c r="G311" s="7">
        <v>45983</v>
      </c>
      <c r="H311" s="7">
        <v>45983</v>
      </c>
      <c r="I311" s="5" t="s">
        <v>108</v>
      </c>
      <c r="J311" s="4" cm="1">
        <f t="array" ref="J31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311" s="5" t="str">
        <f>IF(Table1[[#This Row],[Unit''s Leave Quota]]&lt;=6, "Approved", "Quota Exceeded")</f>
        <v>Approved</v>
      </c>
      <c r="L311" s="5"/>
      <c r="M311" t="s">
        <v>155</v>
      </c>
    </row>
    <row r="312" spans="1:13" hidden="1" x14ac:dyDescent="0.3">
      <c r="A312" s="6">
        <v>45978</v>
      </c>
      <c r="B312" t="s">
        <v>12</v>
      </c>
      <c r="C312" t="s">
        <v>22</v>
      </c>
      <c r="D312" t="s">
        <v>257</v>
      </c>
      <c r="E312" s="5" t="s">
        <v>187</v>
      </c>
      <c r="F312" s="5" t="s">
        <v>16</v>
      </c>
      <c r="G312" s="7">
        <v>45987</v>
      </c>
      <c r="H312" s="7">
        <v>45987</v>
      </c>
      <c r="I312" s="5" t="s">
        <v>108</v>
      </c>
      <c r="J312" s="4" cm="1">
        <f t="array" ref="J31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312" s="5" t="str">
        <f>IF(Table1[[#This Row],[Unit''s Leave Quota]]&lt;=6, "Approved", "Quota Exceeded")</f>
        <v>Approved</v>
      </c>
      <c r="L312" s="5"/>
      <c r="M312" t="s">
        <v>155</v>
      </c>
    </row>
    <row r="313" spans="1:13" hidden="1" x14ac:dyDescent="0.3">
      <c r="A313" s="6">
        <v>45978</v>
      </c>
      <c r="B313" t="s">
        <v>12</v>
      </c>
      <c r="C313" t="s">
        <v>22</v>
      </c>
      <c r="D313" t="s">
        <v>257</v>
      </c>
      <c r="E313" s="5" t="s">
        <v>187</v>
      </c>
      <c r="F313" s="5" t="s">
        <v>16</v>
      </c>
      <c r="G313" s="7">
        <v>45995</v>
      </c>
      <c r="H313" s="7">
        <v>45995</v>
      </c>
      <c r="I313" s="5" t="s">
        <v>108</v>
      </c>
      <c r="J313" s="4" cm="1">
        <f t="array" ref="J31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313" s="5" t="str">
        <f>IF(Table1[[#This Row],[Unit''s Leave Quota]]&lt;=6, "Approved", "Quota Exceeded")</f>
        <v>Approved</v>
      </c>
      <c r="L313" s="5"/>
      <c r="M313" t="s">
        <v>155</v>
      </c>
    </row>
    <row r="314" spans="1:13" hidden="1" x14ac:dyDescent="0.3">
      <c r="A314" s="6">
        <v>45978</v>
      </c>
      <c r="B314" t="s">
        <v>12</v>
      </c>
      <c r="C314" t="s">
        <v>120</v>
      </c>
      <c r="D314" t="s">
        <v>108</v>
      </c>
      <c r="E314" s="5" t="s">
        <v>75</v>
      </c>
      <c r="F314" s="5" t="s">
        <v>16</v>
      </c>
      <c r="G314" s="7">
        <v>46001</v>
      </c>
      <c r="H314" s="7">
        <v>46006</v>
      </c>
      <c r="I314" s="5" t="s">
        <v>183</v>
      </c>
      <c r="J314" s="4" cm="1">
        <f t="array" ref="J31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314" s="5" t="str">
        <f>IF(Table1[[#This Row],[Unit''s Leave Quota]]&lt;=6, "Approved", "Quota Exceeded")</f>
        <v>Approved</v>
      </c>
      <c r="L314" s="5"/>
      <c r="M314" t="s">
        <v>155</v>
      </c>
    </row>
    <row r="315" spans="1:13" hidden="1" x14ac:dyDescent="0.3">
      <c r="A315" s="6">
        <v>45978</v>
      </c>
      <c r="B315" t="s">
        <v>12</v>
      </c>
      <c r="C315" t="s">
        <v>55</v>
      </c>
      <c r="D315" t="s">
        <v>217</v>
      </c>
      <c r="E315" s="5" t="s">
        <v>303</v>
      </c>
      <c r="F315" s="5" t="s">
        <v>16</v>
      </c>
      <c r="G315" s="7">
        <v>46009</v>
      </c>
      <c r="H315" s="7">
        <v>46014</v>
      </c>
      <c r="I315" s="5" t="s">
        <v>165</v>
      </c>
      <c r="J315" s="4" cm="1">
        <f t="array" ref="J31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7</v>
      </c>
      <c r="K315" s="5" t="str">
        <f>IF(Table1[[#This Row],[Unit''s Leave Quota]]&lt;=6, "Approved", "Quota Exceeded")</f>
        <v>Quota Exceeded</v>
      </c>
      <c r="L315" s="5"/>
      <c r="M315" t="s">
        <v>240</v>
      </c>
    </row>
    <row r="316" spans="1:13" hidden="1" x14ac:dyDescent="0.3">
      <c r="A316" s="6">
        <v>45978</v>
      </c>
      <c r="B316" t="s">
        <v>12</v>
      </c>
      <c r="C316" t="s">
        <v>55</v>
      </c>
      <c r="D316" t="s">
        <v>149</v>
      </c>
      <c r="E316" s="5" t="s">
        <v>157</v>
      </c>
      <c r="F316" s="5" t="s">
        <v>16</v>
      </c>
      <c r="G316" s="7">
        <v>46011</v>
      </c>
      <c r="H316" s="7">
        <v>46022</v>
      </c>
      <c r="I316" s="5" t="s">
        <v>160</v>
      </c>
      <c r="J316" s="4" cm="1">
        <f t="array" ref="J31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7</v>
      </c>
      <c r="K316" s="5" t="str">
        <f>IF(Table1[[#This Row],[Unit''s Leave Quota]]&lt;=6, "Approved", "Quota Exceeded")</f>
        <v>Quota Exceeded</v>
      </c>
      <c r="L316" s="5"/>
      <c r="M316" t="s">
        <v>304</v>
      </c>
    </row>
    <row r="317" spans="1:13" x14ac:dyDescent="0.3">
      <c r="A317" s="6">
        <v>45978</v>
      </c>
      <c r="B317" t="s">
        <v>12</v>
      </c>
      <c r="C317" t="s">
        <v>221</v>
      </c>
      <c r="D317" t="s">
        <v>132</v>
      </c>
      <c r="E317" s="5" t="s">
        <v>305</v>
      </c>
      <c r="F317" s="5" t="s">
        <v>16</v>
      </c>
      <c r="G317" s="7">
        <v>46277</v>
      </c>
      <c r="H317" s="7">
        <v>46286</v>
      </c>
      <c r="I317" s="5" t="s">
        <v>108</v>
      </c>
      <c r="J317" s="4" cm="1">
        <f t="array" ref="J31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317" s="5" t="str">
        <f>IF(Table1[[#This Row],[Unit''s Leave Quota]]&lt;=6, "Approved", "Quota Exceeded")</f>
        <v>Approved</v>
      </c>
      <c r="L317" s="5"/>
      <c r="M317" t="s">
        <v>155</v>
      </c>
    </row>
    <row r="318" spans="1:13" hidden="1" x14ac:dyDescent="0.3">
      <c r="A318" s="6">
        <v>45980</v>
      </c>
      <c r="B318" t="s">
        <v>12</v>
      </c>
      <c r="C318" t="s">
        <v>306</v>
      </c>
      <c r="D318" t="s">
        <v>133</v>
      </c>
      <c r="E318" s="5" t="s">
        <v>307</v>
      </c>
      <c r="F318" s="5" t="s">
        <v>16</v>
      </c>
      <c r="G318" s="7">
        <v>45983</v>
      </c>
      <c r="H318" s="7">
        <v>45987</v>
      </c>
      <c r="I318" s="5" t="s">
        <v>108</v>
      </c>
      <c r="J318" s="4" cm="1">
        <f t="array" ref="J31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318" s="5" t="str">
        <f>IF(Table1[[#This Row],[Unit''s Leave Quota]]&lt;=6, "Approved", "Quota Exceeded")</f>
        <v>Approved</v>
      </c>
      <c r="L318" s="5"/>
      <c r="M318" t="s">
        <v>155</v>
      </c>
    </row>
    <row r="319" spans="1:13" x14ac:dyDescent="0.3">
      <c r="A319" s="6">
        <v>45980</v>
      </c>
      <c r="B319" t="s">
        <v>12</v>
      </c>
      <c r="C319" t="s">
        <v>41</v>
      </c>
      <c r="D319" t="s">
        <v>308</v>
      </c>
      <c r="E319" s="5" t="s">
        <v>309</v>
      </c>
      <c r="F319" s="5" t="s">
        <v>16</v>
      </c>
      <c r="G319" s="7">
        <v>46034</v>
      </c>
      <c r="H319" s="7">
        <v>46038</v>
      </c>
      <c r="I319" s="5" t="s">
        <v>165</v>
      </c>
      <c r="J319" s="4" cm="1">
        <f t="array" ref="J31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319" s="5" t="str">
        <f>IF(Table1[[#This Row],[Unit''s Leave Quota]]&lt;=6, "Approved", "Quota Exceeded")</f>
        <v>Approved</v>
      </c>
      <c r="L319" s="5"/>
      <c r="M319" t="s">
        <v>152</v>
      </c>
    </row>
    <row r="320" spans="1:13" hidden="1" x14ac:dyDescent="0.3">
      <c r="A320" s="6">
        <v>45981</v>
      </c>
      <c r="B320" t="s">
        <v>12</v>
      </c>
      <c r="C320" t="s">
        <v>263</v>
      </c>
      <c r="D320" t="s">
        <v>42</v>
      </c>
      <c r="E320" s="5" t="s">
        <v>80</v>
      </c>
      <c r="F320" s="5" t="s">
        <v>16</v>
      </c>
      <c r="G320" s="7">
        <v>46007</v>
      </c>
      <c r="H320" s="7">
        <v>46007</v>
      </c>
      <c r="I320" s="5" t="s">
        <v>239</v>
      </c>
      <c r="J320" s="4" cm="1">
        <f t="array" ref="J32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320" s="5" t="str">
        <f>IF(Table1[[#This Row],[Unit''s Leave Quota]]&lt;=6, "Approved", "Quota Exceeded")</f>
        <v>Approved</v>
      </c>
      <c r="L320" s="5"/>
      <c r="M320" t="s">
        <v>310</v>
      </c>
    </row>
    <row r="321" spans="1:13" hidden="1" x14ac:dyDescent="0.3">
      <c r="A321" s="6">
        <v>45981</v>
      </c>
      <c r="B321" t="s">
        <v>12</v>
      </c>
      <c r="C321" t="s">
        <v>13</v>
      </c>
      <c r="D321" t="s">
        <v>107</v>
      </c>
      <c r="E321" s="5" t="s">
        <v>311</v>
      </c>
      <c r="F321" s="5" t="s">
        <v>16</v>
      </c>
      <c r="G321" s="7">
        <v>46018</v>
      </c>
      <c r="H321" s="7">
        <v>46019</v>
      </c>
      <c r="I321" s="5" t="s">
        <v>239</v>
      </c>
      <c r="J321" s="4" cm="1">
        <f t="array" ref="J32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321" s="5" t="str">
        <f>IF(Table1[[#This Row],[Unit''s Leave Quota]]&lt;=6, "Approved", "Quota Exceeded")</f>
        <v>Approved</v>
      </c>
      <c r="L321" s="5"/>
      <c r="M321" t="s">
        <v>312</v>
      </c>
    </row>
    <row r="322" spans="1:13" x14ac:dyDescent="0.3">
      <c r="A322" s="6">
        <v>45984</v>
      </c>
      <c r="B322" t="s">
        <v>12</v>
      </c>
      <c r="C322" t="s">
        <v>120</v>
      </c>
      <c r="D322" t="s">
        <v>108</v>
      </c>
      <c r="E322" s="5" t="s">
        <v>66</v>
      </c>
      <c r="F322" s="5" t="s">
        <v>16</v>
      </c>
      <c r="G322" s="7">
        <v>46030</v>
      </c>
      <c r="H322" s="7">
        <v>46033</v>
      </c>
      <c r="I322" s="5" t="s">
        <v>183</v>
      </c>
      <c r="J322" s="4" cm="1">
        <f t="array" ref="J32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322" s="5" t="str">
        <f>IF(Table1[[#This Row],[Unit''s Leave Quota]]&lt;=6, "Approved", "Quota Exceeded")</f>
        <v>Approved</v>
      </c>
      <c r="L322" s="5"/>
      <c r="M322" t="s">
        <v>155</v>
      </c>
    </row>
    <row r="323" spans="1:13" hidden="1" x14ac:dyDescent="0.3">
      <c r="A323" s="6">
        <v>45985</v>
      </c>
      <c r="B323" t="s">
        <v>12</v>
      </c>
      <c r="C323" t="s">
        <v>197</v>
      </c>
      <c r="D323" t="s">
        <v>47</v>
      </c>
      <c r="E323" s="5" t="s">
        <v>77</v>
      </c>
      <c r="F323" s="5" t="s">
        <v>16</v>
      </c>
      <c r="G323" s="7">
        <v>45985</v>
      </c>
      <c r="H323" s="7">
        <v>45985</v>
      </c>
      <c r="I323" s="5" t="s">
        <v>199</v>
      </c>
      <c r="J323" s="4" cm="1">
        <f t="array" ref="J32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323" s="5" t="str">
        <f>IF(Table1[[#This Row],[Unit''s Leave Quota]]&lt;=6, "Approved", "Quota Exceeded")</f>
        <v>Approved</v>
      </c>
      <c r="L323" s="5"/>
      <c r="M323" t="s">
        <v>313</v>
      </c>
    </row>
    <row r="324" spans="1:13" hidden="1" x14ac:dyDescent="0.3">
      <c r="A324" s="6">
        <v>45987</v>
      </c>
      <c r="B324" t="s">
        <v>12</v>
      </c>
      <c r="C324" t="s">
        <v>173</v>
      </c>
      <c r="D324" t="s">
        <v>300</v>
      </c>
      <c r="E324" s="5" t="s">
        <v>139</v>
      </c>
      <c r="F324" s="5" t="s">
        <v>16</v>
      </c>
      <c r="G324" s="7">
        <v>45987</v>
      </c>
      <c r="H324" s="7">
        <v>45988</v>
      </c>
      <c r="I324" s="5" t="s">
        <v>30</v>
      </c>
      <c r="J324" s="4" cm="1">
        <f t="array" ref="J32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324" s="5" t="str">
        <f>IF(Table1[[#This Row],[Unit''s Leave Quota]]&lt;=6, "Approved", "Quota Exceeded")</f>
        <v>Approved</v>
      </c>
      <c r="L324" s="5"/>
      <c r="M324" t="s">
        <v>274</v>
      </c>
    </row>
    <row r="325" spans="1:13" hidden="1" x14ac:dyDescent="0.3">
      <c r="A325" s="6">
        <v>45987</v>
      </c>
      <c r="B325" t="s">
        <v>12</v>
      </c>
      <c r="C325" t="s">
        <v>161</v>
      </c>
      <c r="D325" t="s">
        <v>91</v>
      </c>
      <c r="E325" s="5" t="s">
        <v>264</v>
      </c>
      <c r="F325" s="5" t="s">
        <v>16</v>
      </c>
      <c r="G325" s="7">
        <v>45988</v>
      </c>
      <c r="H325" s="7">
        <v>45988</v>
      </c>
      <c r="I325" s="5" t="s">
        <v>239</v>
      </c>
      <c r="J325" s="4" cm="1">
        <f t="array" ref="J32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325" s="5" t="str">
        <f>IF(Table1[[#This Row],[Unit''s Leave Quota]]&lt;=6, "Approved", "Quota Exceeded")</f>
        <v>Approved</v>
      </c>
      <c r="L325" s="5"/>
      <c r="M325" t="s">
        <v>314</v>
      </c>
    </row>
    <row r="326" spans="1:13" hidden="1" x14ac:dyDescent="0.3">
      <c r="A326" s="6">
        <v>45987</v>
      </c>
      <c r="B326" t="s">
        <v>12</v>
      </c>
      <c r="C326" t="s">
        <v>161</v>
      </c>
      <c r="D326" t="s">
        <v>91</v>
      </c>
      <c r="E326" s="5" t="s">
        <v>264</v>
      </c>
      <c r="F326" s="5" t="s">
        <v>16</v>
      </c>
      <c r="G326" s="7">
        <v>45993</v>
      </c>
      <c r="H326" s="7">
        <v>45994</v>
      </c>
      <c r="I326" s="5" t="s">
        <v>239</v>
      </c>
      <c r="J326" s="4" cm="1">
        <f t="array" ref="J32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326" s="5" t="str">
        <f>IF(Table1[[#This Row],[Unit''s Leave Quota]]&lt;=6, "Approved", "Quota Exceeded")</f>
        <v>Approved</v>
      </c>
      <c r="L326" s="5"/>
      <c r="M326" t="s">
        <v>315</v>
      </c>
    </row>
    <row r="327" spans="1:13" hidden="1" x14ac:dyDescent="0.3">
      <c r="A327" s="6">
        <v>45992</v>
      </c>
      <c r="B327" t="s">
        <v>12</v>
      </c>
      <c r="C327" t="s">
        <v>197</v>
      </c>
      <c r="D327" t="s">
        <v>47</v>
      </c>
      <c r="E327" s="5" t="s">
        <v>77</v>
      </c>
      <c r="F327" s="5" t="s">
        <v>16</v>
      </c>
      <c r="G327" s="7">
        <v>45995</v>
      </c>
      <c r="H327" s="7">
        <v>45995</v>
      </c>
      <c r="I327" s="5" t="s">
        <v>199</v>
      </c>
      <c r="J327" s="4" cm="1">
        <f t="array" ref="J32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327" s="5" t="str">
        <f>IF(Table1[[#This Row],[Unit''s Leave Quota]]&lt;=6, "Approved", "Quota Exceeded")</f>
        <v>Approved</v>
      </c>
      <c r="L327" s="5"/>
      <c r="M327" t="s">
        <v>179</v>
      </c>
    </row>
    <row r="328" spans="1:13" hidden="1" x14ac:dyDescent="0.3">
      <c r="A328" s="6">
        <v>45992</v>
      </c>
      <c r="B328" t="s">
        <v>12</v>
      </c>
      <c r="C328" t="s">
        <v>197</v>
      </c>
      <c r="D328" t="s">
        <v>47</v>
      </c>
      <c r="E328" s="5" t="s">
        <v>89</v>
      </c>
      <c r="F328" s="5" t="s">
        <v>16</v>
      </c>
      <c r="G328" s="7">
        <v>45999</v>
      </c>
      <c r="H328" s="7">
        <v>46000</v>
      </c>
      <c r="I328" s="5" t="s">
        <v>199</v>
      </c>
      <c r="J328" s="4" cm="1">
        <f t="array" ref="J32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328" s="5" t="str">
        <f>IF(Table1[[#This Row],[Unit''s Leave Quota]]&lt;=6, "Approved", "Quota Exceeded")</f>
        <v>Approved</v>
      </c>
      <c r="L328" s="5"/>
      <c r="M328" t="s">
        <v>179</v>
      </c>
    </row>
    <row r="329" spans="1:13" x14ac:dyDescent="0.3">
      <c r="A329" s="6">
        <v>45998</v>
      </c>
      <c r="B329" t="s">
        <v>12</v>
      </c>
      <c r="C329" t="s">
        <v>13</v>
      </c>
      <c r="D329" t="s">
        <v>62</v>
      </c>
      <c r="E329" s="5" t="s">
        <v>316</v>
      </c>
      <c r="F329" s="5" t="s">
        <v>16</v>
      </c>
      <c r="G329" s="7">
        <v>46029</v>
      </c>
      <c r="H329" s="7">
        <v>46032</v>
      </c>
      <c r="I329" s="5" t="s">
        <v>165</v>
      </c>
      <c r="J329" s="4" cm="1">
        <f t="array" ref="J32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329" s="5" t="str">
        <f>IF(Table1[[#This Row],[Unit''s Leave Quota]]&lt;=6, "Approved", "Quota Exceeded")</f>
        <v>Approved</v>
      </c>
      <c r="L329" s="5"/>
      <c r="M329" t="s">
        <v>152</v>
      </c>
    </row>
    <row r="330" spans="1:13" hidden="1" x14ac:dyDescent="0.3">
      <c r="A330" s="6">
        <v>45999</v>
      </c>
      <c r="B330" t="s">
        <v>12</v>
      </c>
      <c r="C330" t="s">
        <v>22</v>
      </c>
      <c r="D330" t="s">
        <v>26</v>
      </c>
      <c r="E330" s="5" t="s">
        <v>77</v>
      </c>
      <c r="F330" s="5" t="s">
        <v>16</v>
      </c>
      <c r="G330" s="7">
        <v>46002</v>
      </c>
      <c r="H330" s="7">
        <v>46002</v>
      </c>
      <c r="I330" s="5" t="s">
        <v>108</v>
      </c>
      <c r="J330" s="4" cm="1">
        <f t="array" ref="J33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330" s="5" t="str">
        <f>IF(Table1[[#This Row],[Unit''s Leave Quota]]&lt;=6, "Approved", "Quota Exceeded")</f>
        <v>Approved</v>
      </c>
      <c r="L330" s="5"/>
      <c r="M330" t="s">
        <v>155</v>
      </c>
    </row>
    <row r="331" spans="1:13" hidden="1" x14ac:dyDescent="0.3">
      <c r="A331" s="6">
        <v>46001</v>
      </c>
      <c r="B331" t="s">
        <v>12</v>
      </c>
      <c r="C331" t="s">
        <v>173</v>
      </c>
      <c r="D331" t="s">
        <v>300</v>
      </c>
      <c r="E331" s="5" t="s">
        <v>189</v>
      </c>
      <c r="F331" s="5" t="s">
        <v>16</v>
      </c>
      <c r="G331" s="7">
        <v>46003</v>
      </c>
      <c r="H331" s="7">
        <v>46004</v>
      </c>
      <c r="I331" s="5" t="s">
        <v>30</v>
      </c>
      <c r="J331" s="4" cm="1">
        <f t="array" ref="J33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331" s="5" t="str">
        <f>IF(Table1[[#This Row],[Unit''s Leave Quota]]&lt;=6, "Approved", "Quota Exceeded")</f>
        <v>Approved</v>
      </c>
      <c r="L331" s="5"/>
      <c r="M331" t="s">
        <v>317</v>
      </c>
    </row>
    <row r="332" spans="1:13" hidden="1" x14ac:dyDescent="0.3">
      <c r="A332" s="6">
        <v>46003</v>
      </c>
      <c r="B332" t="s">
        <v>12</v>
      </c>
      <c r="C332" t="s">
        <v>13</v>
      </c>
      <c r="D332" t="s">
        <v>238</v>
      </c>
      <c r="E332" s="5" t="s">
        <v>77</v>
      </c>
      <c r="F332" s="5" t="s">
        <v>16</v>
      </c>
      <c r="G332" s="7">
        <v>46003</v>
      </c>
      <c r="H332" s="7">
        <v>46003</v>
      </c>
      <c r="I332" s="5" t="s">
        <v>108</v>
      </c>
      <c r="J332" s="4" cm="1">
        <f t="array" ref="J33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332" s="5" t="str">
        <f>IF(Table1[[#This Row],[Unit''s Leave Quota]]&lt;=6, "Approved", "Quota Exceeded")</f>
        <v>Approved</v>
      </c>
      <c r="L332" s="5"/>
      <c r="M332" t="s">
        <v>155</v>
      </c>
    </row>
    <row r="333" spans="1:13" hidden="1" x14ac:dyDescent="0.3">
      <c r="A333" s="6">
        <v>46009</v>
      </c>
      <c r="B333" t="s">
        <v>12</v>
      </c>
      <c r="C333" t="s">
        <v>197</v>
      </c>
      <c r="D333" t="s">
        <v>47</v>
      </c>
      <c r="E333" s="5" t="s">
        <v>77</v>
      </c>
      <c r="F333" s="5" t="s">
        <v>16</v>
      </c>
      <c r="G333" s="7">
        <v>46009</v>
      </c>
      <c r="H333" s="7">
        <v>46009</v>
      </c>
      <c r="I333" s="5" t="s">
        <v>199</v>
      </c>
      <c r="J333" s="4" cm="1">
        <f t="array" ref="J33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7</v>
      </c>
      <c r="K333" s="5" t="str">
        <f>IF(Table1[[#This Row],[Unit''s Leave Quota]]&lt;=6, "Approved", "Quota Exceeded")</f>
        <v>Quota Exceeded</v>
      </c>
      <c r="L333" s="5"/>
      <c r="M333" t="s">
        <v>318</v>
      </c>
    </row>
    <row r="334" spans="1:13" hidden="1" x14ac:dyDescent="0.3">
      <c r="A334" s="6">
        <v>46009</v>
      </c>
      <c r="B334" t="s">
        <v>12</v>
      </c>
      <c r="C334" t="s">
        <v>22</v>
      </c>
      <c r="D334" t="s">
        <v>140</v>
      </c>
      <c r="E334" s="5" t="s">
        <v>150</v>
      </c>
      <c r="F334" s="5" t="s">
        <v>16</v>
      </c>
      <c r="G334" s="7">
        <v>46009</v>
      </c>
      <c r="H334" s="7">
        <v>46009</v>
      </c>
      <c r="I334" s="5" t="s">
        <v>165</v>
      </c>
      <c r="J334" s="4" cm="1">
        <f t="array" ref="J33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7</v>
      </c>
      <c r="K334" s="5" t="str">
        <f>IF(Table1[[#This Row],[Unit''s Leave Quota]]&lt;=6, "Approved", "Quota Exceeded")</f>
        <v>Quota Exceeded</v>
      </c>
      <c r="L334" s="5"/>
      <c r="M334" t="s">
        <v>240</v>
      </c>
    </row>
    <row r="335" spans="1:13" hidden="1" x14ac:dyDescent="0.3">
      <c r="A335" s="6">
        <v>46009</v>
      </c>
      <c r="B335" t="s">
        <v>12</v>
      </c>
      <c r="C335" t="s">
        <v>13</v>
      </c>
      <c r="D335" t="s">
        <v>245</v>
      </c>
      <c r="E335" s="5" t="s">
        <v>80</v>
      </c>
      <c r="F335" s="5" t="s">
        <v>16</v>
      </c>
      <c r="G335" s="7">
        <v>46009</v>
      </c>
      <c r="H335" s="7">
        <v>46009</v>
      </c>
      <c r="I335" s="5" t="s">
        <v>199</v>
      </c>
      <c r="J335" s="4" cm="1">
        <f t="array" ref="J33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7</v>
      </c>
      <c r="K335" s="5" t="str">
        <f>IF(Table1[[#This Row],[Unit''s Leave Quota]]&lt;=6, "Approved", "Quota Exceeded")</f>
        <v>Quota Exceeded</v>
      </c>
      <c r="L335" s="5"/>
      <c r="M335" t="s">
        <v>319</v>
      </c>
    </row>
    <row r="336" spans="1:13" hidden="1" x14ac:dyDescent="0.3">
      <c r="A336" s="6">
        <v>46009</v>
      </c>
      <c r="B336" t="s">
        <v>12</v>
      </c>
      <c r="C336" t="s">
        <v>22</v>
      </c>
      <c r="D336" t="s">
        <v>140</v>
      </c>
      <c r="E336" s="5" t="s">
        <v>150</v>
      </c>
      <c r="F336" s="5" t="s">
        <v>16</v>
      </c>
      <c r="G336" s="7">
        <v>46012</v>
      </c>
      <c r="H336" s="7">
        <v>46012</v>
      </c>
      <c r="I336" s="5" t="s">
        <v>165</v>
      </c>
      <c r="J336" s="4" cm="1">
        <f t="array" ref="J33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7</v>
      </c>
      <c r="K336" s="5" t="str">
        <f>IF(Table1[[#This Row],[Unit''s Leave Quota]]&lt;=6, "Approved", "Quota Exceeded")</f>
        <v>Quota Exceeded</v>
      </c>
      <c r="L336" s="5"/>
      <c r="M336" s="15" t="s">
        <v>145</v>
      </c>
    </row>
    <row r="337" spans="1:13" hidden="1" x14ac:dyDescent="0.3">
      <c r="A337" s="6">
        <v>46010</v>
      </c>
      <c r="B337" t="s">
        <v>12</v>
      </c>
      <c r="C337" t="s">
        <v>22</v>
      </c>
      <c r="D337" t="s">
        <v>180</v>
      </c>
      <c r="E337" s="5" t="s">
        <v>320</v>
      </c>
      <c r="F337" s="5" t="s">
        <v>321</v>
      </c>
      <c r="G337" s="7">
        <v>46011</v>
      </c>
      <c r="H337" s="7">
        <v>46011</v>
      </c>
      <c r="I337" s="5" t="s">
        <v>160</v>
      </c>
      <c r="J337" s="4" cm="1">
        <f t="array" ref="J33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7</v>
      </c>
      <c r="K337" s="5" t="str">
        <f>IF(Table1[[#This Row],[Unit''s Leave Quota]]&lt;=6, "Approved", "Quota Exceeded")</f>
        <v>Quota Exceeded</v>
      </c>
      <c r="L337" s="5"/>
      <c r="M337" t="s">
        <v>322</v>
      </c>
    </row>
    <row r="338" spans="1:13" hidden="1" x14ac:dyDescent="0.3">
      <c r="A338" s="6">
        <v>46010</v>
      </c>
      <c r="B338" t="s">
        <v>12</v>
      </c>
      <c r="C338" t="s">
        <v>50</v>
      </c>
      <c r="D338" t="s">
        <v>59</v>
      </c>
      <c r="E338" s="5" t="s">
        <v>150</v>
      </c>
      <c r="F338" s="5" t="s">
        <v>16</v>
      </c>
      <c r="G338" s="7">
        <v>46011</v>
      </c>
      <c r="H338" s="7">
        <v>46011</v>
      </c>
      <c r="I338" s="5" t="s">
        <v>165</v>
      </c>
      <c r="J338" s="4" cm="1">
        <f t="array" ref="J33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7</v>
      </c>
      <c r="K338" s="5" t="str">
        <f>IF(Table1[[#This Row],[Unit''s Leave Quota]]&lt;=6, "Approved", "Quota Exceeded")</f>
        <v>Quota Exceeded</v>
      </c>
      <c r="L338" s="5"/>
      <c r="M338" t="s">
        <v>240</v>
      </c>
    </row>
    <row r="339" spans="1:13" x14ac:dyDescent="0.3">
      <c r="A339" s="6">
        <v>46010</v>
      </c>
      <c r="B339" t="s">
        <v>12</v>
      </c>
      <c r="C339" t="s">
        <v>22</v>
      </c>
      <c r="D339" t="s">
        <v>51</v>
      </c>
      <c r="E339" s="5" t="s">
        <v>144</v>
      </c>
      <c r="F339" s="5" t="s">
        <v>16</v>
      </c>
      <c r="G339" s="7">
        <v>46025</v>
      </c>
      <c r="H339" s="7">
        <v>46030</v>
      </c>
      <c r="I339" s="5" t="s">
        <v>160</v>
      </c>
      <c r="J339" s="4" cm="1">
        <f t="array" ref="J33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339" s="5" t="str">
        <f>IF(Table1[[#This Row],[Unit''s Leave Quota]]&lt;=6, "Approved", "Quota Exceeded")</f>
        <v>Approved</v>
      </c>
      <c r="L339" s="5"/>
      <c r="M339" t="s">
        <v>155</v>
      </c>
    </row>
    <row r="340" spans="1:13" x14ac:dyDescent="0.3">
      <c r="A340" s="6">
        <v>46010</v>
      </c>
      <c r="B340" t="s">
        <v>12</v>
      </c>
      <c r="C340" t="s">
        <v>13</v>
      </c>
      <c r="D340" t="s">
        <v>169</v>
      </c>
      <c r="E340" s="5" t="s">
        <v>233</v>
      </c>
      <c r="F340" s="5" t="s">
        <v>16</v>
      </c>
      <c r="G340" s="7">
        <v>46114</v>
      </c>
      <c r="H340" s="7">
        <v>46124</v>
      </c>
      <c r="I340" s="5" t="s">
        <v>160</v>
      </c>
      <c r="J340" s="4" cm="1">
        <f t="array" ref="J34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340" s="5" t="str">
        <f>IF(Table1[[#This Row],[Unit''s Leave Quota]]&lt;=6, "Approved", "Quota Exceeded")</f>
        <v>Approved</v>
      </c>
      <c r="L340" s="5"/>
    </row>
    <row r="341" spans="1:13" x14ac:dyDescent="0.3">
      <c r="A341" s="6">
        <v>46010</v>
      </c>
      <c r="B341" t="s">
        <v>12</v>
      </c>
      <c r="C341" t="s">
        <v>22</v>
      </c>
      <c r="D341" t="s">
        <v>73</v>
      </c>
      <c r="E341" s="5" t="s">
        <v>323</v>
      </c>
      <c r="F341" s="5" t="s">
        <v>16</v>
      </c>
      <c r="G341" s="7">
        <v>46240</v>
      </c>
      <c r="H341" s="7">
        <v>46244</v>
      </c>
      <c r="I341" s="5" t="s">
        <v>160</v>
      </c>
      <c r="J341" s="4" cm="1">
        <f t="array" ref="J34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1</v>
      </c>
      <c r="K341" s="5" t="str">
        <f>IF(Table1[[#This Row],[Unit''s Leave Quota]]&lt;=6, "Approved", "Quota Exceeded")</f>
        <v>Approved</v>
      </c>
      <c r="L341" s="5"/>
      <c r="M341" t="s">
        <v>324</v>
      </c>
    </row>
    <row r="342" spans="1:13" x14ac:dyDescent="0.3">
      <c r="A342" s="6">
        <v>46017</v>
      </c>
      <c r="B342" t="s">
        <v>12</v>
      </c>
      <c r="C342" t="s">
        <v>22</v>
      </c>
      <c r="D342" t="s">
        <v>123</v>
      </c>
      <c r="E342" s="5" t="s">
        <v>142</v>
      </c>
      <c r="F342" s="5" t="s">
        <v>16</v>
      </c>
      <c r="G342" s="7">
        <v>46031</v>
      </c>
      <c r="H342" s="7">
        <v>46034</v>
      </c>
      <c r="I342" s="5" t="s">
        <v>239</v>
      </c>
      <c r="J342" s="4" cm="1">
        <f t="array" ref="J34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342" s="5" t="str">
        <f>IF(Table1[[#This Row],[Unit''s Leave Quota]]&lt;=6, "Approved", "Quota Exceeded")</f>
        <v>Approved</v>
      </c>
      <c r="L342" s="5"/>
      <c r="M342" t="s">
        <v>325</v>
      </c>
    </row>
    <row r="343" spans="1:13" x14ac:dyDescent="0.3">
      <c r="A343" s="6">
        <v>46017</v>
      </c>
      <c r="B343" t="s">
        <v>12</v>
      </c>
      <c r="C343" t="s">
        <v>22</v>
      </c>
      <c r="D343" t="s">
        <v>140</v>
      </c>
      <c r="E343" s="5" t="s">
        <v>150</v>
      </c>
      <c r="F343" s="5" t="s">
        <v>16</v>
      </c>
      <c r="G343" s="7">
        <v>46032</v>
      </c>
      <c r="H343" s="7">
        <v>46032</v>
      </c>
      <c r="I343" s="5" t="s">
        <v>165</v>
      </c>
      <c r="J343" s="4" cm="1">
        <f t="array" ref="J34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343" s="5" t="str">
        <f>IF(Table1[[#This Row],[Unit''s Leave Quota]]&lt;=6, "Approved", "Quota Exceeded")</f>
        <v>Approved</v>
      </c>
      <c r="L343" s="5"/>
      <c r="M343" t="s">
        <v>152</v>
      </c>
    </row>
    <row r="344" spans="1:13" x14ac:dyDescent="0.3">
      <c r="A344" s="6">
        <v>46017</v>
      </c>
      <c r="B344" t="s">
        <v>12</v>
      </c>
      <c r="C344" t="s">
        <v>22</v>
      </c>
      <c r="D344" t="s">
        <v>134</v>
      </c>
      <c r="E344" s="5" t="s">
        <v>326</v>
      </c>
      <c r="F344" s="5" t="s">
        <v>16</v>
      </c>
      <c r="G344" s="7">
        <v>46088</v>
      </c>
      <c r="H344" s="7">
        <v>46094</v>
      </c>
      <c r="I344" s="5" t="s">
        <v>239</v>
      </c>
      <c r="J344" s="4" cm="1">
        <f t="array" ref="J34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344" s="5" t="str">
        <f>IF(Table1[[#This Row],[Unit''s Leave Quota]]&lt;=6, "Approved", "Quota Exceeded")</f>
        <v>Approved</v>
      </c>
      <c r="L344" s="5"/>
      <c r="M344" t="s">
        <v>327</v>
      </c>
    </row>
    <row r="345" spans="1:13" x14ac:dyDescent="0.3">
      <c r="A345" s="6">
        <v>46017</v>
      </c>
      <c r="B345" t="s">
        <v>12</v>
      </c>
      <c r="C345" t="s">
        <v>13</v>
      </c>
      <c r="D345" t="s">
        <v>62</v>
      </c>
      <c r="E345" s="5" t="s">
        <v>328</v>
      </c>
      <c r="F345" s="5" t="s">
        <v>16</v>
      </c>
      <c r="G345" s="7">
        <v>46094</v>
      </c>
      <c r="H345" s="7">
        <v>46101</v>
      </c>
      <c r="I345" s="5" t="s">
        <v>165</v>
      </c>
      <c r="J345" s="4" cm="1">
        <f t="array" ref="J34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345" s="5" t="str">
        <f>IF(Table1[[#This Row],[Unit''s Leave Quota]]&lt;=6, "Approved", "Quota Exceeded")</f>
        <v>Approved</v>
      </c>
      <c r="L345" s="5"/>
      <c r="M345" t="s">
        <v>152</v>
      </c>
    </row>
    <row r="346" spans="1:13" x14ac:dyDescent="0.3">
      <c r="A346" s="6">
        <v>46017</v>
      </c>
      <c r="B346" t="s">
        <v>12</v>
      </c>
      <c r="C346" t="s">
        <v>13</v>
      </c>
      <c r="D346" t="s">
        <v>62</v>
      </c>
      <c r="E346" s="5" t="s">
        <v>329</v>
      </c>
      <c r="F346" s="5" t="s">
        <v>16</v>
      </c>
      <c r="G346" s="7">
        <v>46190</v>
      </c>
      <c r="H346" s="7">
        <v>46199</v>
      </c>
      <c r="I346" s="5" t="s">
        <v>165</v>
      </c>
      <c r="J346" s="4" cm="1">
        <f t="array" ref="J34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346" s="5" t="str">
        <f>IF(Table1[[#This Row],[Unit''s Leave Quota]]&lt;=6, "Approved", "Quota Exceeded")</f>
        <v>Approved</v>
      </c>
      <c r="L346" s="5"/>
      <c r="M346" t="s">
        <v>152</v>
      </c>
    </row>
    <row r="347" spans="1:13" x14ac:dyDescent="0.3">
      <c r="A347" s="6">
        <v>46017</v>
      </c>
      <c r="B347" t="s">
        <v>12</v>
      </c>
      <c r="C347" t="s">
        <v>13</v>
      </c>
      <c r="D347" t="s">
        <v>62</v>
      </c>
      <c r="E347" s="5" t="s">
        <v>330</v>
      </c>
      <c r="F347" s="5" t="s">
        <v>16</v>
      </c>
      <c r="G347" s="7">
        <v>46353</v>
      </c>
      <c r="H347" s="7">
        <v>46366</v>
      </c>
      <c r="I347" s="5" t="s">
        <v>165</v>
      </c>
      <c r="J347" s="4" cm="1">
        <f t="array" ref="J34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347" s="5" t="str">
        <f>IF(Table1[[#This Row],[Unit''s Leave Quota]]&lt;=6, "Approved", "Quota Exceeded")</f>
        <v>Approved</v>
      </c>
      <c r="L347" s="5"/>
      <c r="M347" t="s">
        <v>152</v>
      </c>
    </row>
    <row r="348" spans="1:13" x14ac:dyDescent="0.3">
      <c r="A348" s="6">
        <v>46021</v>
      </c>
      <c r="B348" t="s">
        <v>12</v>
      </c>
      <c r="C348" t="s">
        <v>13</v>
      </c>
      <c r="D348" t="s">
        <v>238</v>
      </c>
      <c r="E348" s="5" t="s">
        <v>187</v>
      </c>
      <c r="F348" s="5" t="s">
        <v>16</v>
      </c>
      <c r="G348" s="7">
        <v>46079</v>
      </c>
      <c r="H348" s="7">
        <v>46083</v>
      </c>
      <c r="I348" s="5" t="s">
        <v>108</v>
      </c>
      <c r="J348" s="4" cm="1">
        <f t="array" ref="J34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348" s="5" t="str">
        <f>IF(Table1[[#This Row],[Unit''s Leave Quota]]&lt;=6, "Approved", "Quota Exceeded")</f>
        <v>Approved</v>
      </c>
      <c r="L348" s="5"/>
      <c r="M348" t="s">
        <v>155</v>
      </c>
    </row>
    <row r="349" spans="1:13" x14ac:dyDescent="0.3">
      <c r="A349" s="6">
        <v>46021</v>
      </c>
      <c r="B349" t="s">
        <v>12</v>
      </c>
      <c r="C349" t="s">
        <v>13</v>
      </c>
      <c r="D349" t="s">
        <v>238</v>
      </c>
      <c r="E349" s="5" t="s">
        <v>31</v>
      </c>
      <c r="F349" s="5" t="s">
        <v>16</v>
      </c>
      <c r="G349" s="7">
        <v>46375</v>
      </c>
      <c r="H349" s="7">
        <v>46387</v>
      </c>
      <c r="I349" s="5" t="s">
        <v>108</v>
      </c>
      <c r="J349" s="4" cm="1">
        <f t="array" ref="J34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349" s="5" t="str">
        <f>IF(Table1[[#This Row],[Unit''s Leave Quota]]&lt;=6, "Approved", "Quota Exceeded")</f>
        <v>Approved</v>
      </c>
      <c r="L349" s="5"/>
      <c r="M349" t="s">
        <v>155</v>
      </c>
    </row>
    <row r="350" spans="1:13" x14ac:dyDescent="0.3">
      <c r="A350" s="6">
        <v>46023</v>
      </c>
      <c r="B350" t="s">
        <v>12</v>
      </c>
      <c r="C350" t="s">
        <v>22</v>
      </c>
      <c r="D350" t="s">
        <v>300</v>
      </c>
      <c r="E350" s="5" t="s">
        <v>150</v>
      </c>
      <c r="F350" s="5" t="s">
        <v>16</v>
      </c>
      <c r="G350" s="7">
        <v>46023</v>
      </c>
      <c r="H350" s="7">
        <v>46023</v>
      </c>
      <c r="I350" s="5" t="s">
        <v>30</v>
      </c>
      <c r="J350" s="4" cm="1">
        <f t="array" ref="J35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350" s="5" t="str">
        <f>IF(Table1[[#This Row],[Unit''s Leave Quota]]&lt;=6, "Approved", "Quota Exceeded")</f>
        <v>Approved</v>
      </c>
      <c r="L350" s="5"/>
      <c r="M350" t="s">
        <v>260</v>
      </c>
    </row>
    <row r="351" spans="1:13" x14ac:dyDescent="0.3">
      <c r="A351" s="6">
        <v>46023</v>
      </c>
      <c r="B351" t="s">
        <v>12</v>
      </c>
      <c r="C351" t="s">
        <v>13</v>
      </c>
      <c r="D351" t="s">
        <v>238</v>
      </c>
      <c r="E351" s="5" t="s">
        <v>77</v>
      </c>
      <c r="F351" s="5" t="s">
        <v>16</v>
      </c>
      <c r="G351" s="7">
        <v>46025</v>
      </c>
      <c r="H351" s="7">
        <v>46026</v>
      </c>
      <c r="I351" s="5" t="s">
        <v>108</v>
      </c>
      <c r="J351" s="4" cm="1">
        <f t="array" ref="J35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351" s="5" t="str">
        <f>IF(Table1[[#This Row],[Unit''s Leave Quota]]&lt;=6, "Approved", "Quota Exceeded")</f>
        <v>Approved</v>
      </c>
      <c r="L351" s="5"/>
      <c r="M351" t="s">
        <v>155</v>
      </c>
    </row>
    <row r="352" spans="1:13" x14ac:dyDescent="0.3">
      <c r="A352" s="6">
        <v>46023</v>
      </c>
      <c r="B352" t="s">
        <v>12</v>
      </c>
      <c r="C352" t="s">
        <v>13</v>
      </c>
      <c r="D352" t="s">
        <v>238</v>
      </c>
      <c r="E352" s="5" t="s">
        <v>331</v>
      </c>
      <c r="F352" s="5" t="s">
        <v>16</v>
      </c>
      <c r="G352" s="7">
        <v>46039</v>
      </c>
      <c r="H352" s="7">
        <v>46044</v>
      </c>
      <c r="I352" s="5" t="s">
        <v>108</v>
      </c>
      <c r="J352" s="4" cm="1">
        <f t="array" ref="J35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352" s="5" t="str">
        <f>IF(Table1[[#This Row],[Unit''s Leave Quota]]&lt;=6, "Approved", "Quota Exceeded")</f>
        <v>Approved</v>
      </c>
      <c r="L352" s="5"/>
      <c r="M352" t="s">
        <v>155</v>
      </c>
    </row>
    <row r="353" spans="1:13" x14ac:dyDescent="0.3">
      <c r="A353" s="6">
        <v>46023</v>
      </c>
      <c r="B353" t="s">
        <v>12</v>
      </c>
      <c r="C353" t="s">
        <v>120</v>
      </c>
      <c r="D353" t="s">
        <v>108</v>
      </c>
      <c r="E353" s="5" t="s">
        <v>77</v>
      </c>
      <c r="F353" s="5" t="s">
        <v>16</v>
      </c>
      <c r="G353" s="7">
        <v>46059</v>
      </c>
      <c r="H353" s="7">
        <v>46062</v>
      </c>
      <c r="I353" s="5" t="s">
        <v>183</v>
      </c>
      <c r="J353" s="4" cm="1">
        <f t="array" ref="J35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353" s="5" t="str">
        <f>IF(Table1[[#This Row],[Unit''s Leave Quota]]&lt;=6, "Approved", "Quota Exceeded")</f>
        <v>Approved</v>
      </c>
      <c r="L353" s="5"/>
      <c r="M353" t="s">
        <v>155</v>
      </c>
    </row>
    <row r="354" spans="1:13" x14ac:dyDescent="0.3">
      <c r="A354" s="6">
        <v>46024</v>
      </c>
      <c r="B354" t="s">
        <v>12</v>
      </c>
      <c r="C354" t="s">
        <v>22</v>
      </c>
      <c r="D354" t="s">
        <v>300</v>
      </c>
      <c r="E354" s="5" t="s">
        <v>77</v>
      </c>
      <c r="F354" s="5" t="s">
        <v>16</v>
      </c>
      <c r="G354" s="7">
        <v>46029</v>
      </c>
      <c r="H354" s="7">
        <v>46029</v>
      </c>
      <c r="I354" s="5" t="s">
        <v>30</v>
      </c>
      <c r="J354" s="4" cm="1">
        <f t="array" ref="J35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354" s="5" t="str">
        <f>IF(Table1[[#This Row],[Unit''s Leave Quota]]&lt;=6, "Approved", "Quota Exceeded")</f>
        <v>Approved</v>
      </c>
      <c r="L354" s="5"/>
      <c r="M354" t="s">
        <v>260</v>
      </c>
    </row>
    <row r="355" spans="1:13" x14ac:dyDescent="0.3">
      <c r="A355" s="6">
        <v>46024</v>
      </c>
      <c r="B355" t="s">
        <v>12</v>
      </c>
      <c r="C355" t="s">
        <v>332</v>
      </c>
      <c r="D355" t="s">
        <v>239</v>
      </c>
      <c r="E355" s="5" t="s">
        <v>333</v>
      </c>
      <c r="F355" s="5" t="s">
        <v>16</v>
      </c>
      <c r="G355" s="7">
        <v>46059</v>
      </c>
      <c r="H355" s="7">
        <v>46065</v>
      </c>
      <c r="I355" s="5" t="s">
        <v>244</v>
      </c>
      <c r="J355" s="4" cm="1">
        <f t="array" ref="J35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355" s="5" t="str">
        <f>IF(Table1[[#This Row],[Unit''s Leave Quota]]&lt;=6, "Approved", "Quota Exceeded")</f>
        <v>Approved</v>
      </c>
      <c r="L355" s="5"/>
      <c r="M355" t="s">
        <v>334</v>
      </c>
    </row>
    <row r="356" spans="1:13" x14ac:dyDescent="0.3">
      <c r="A356" s="6">
        <v>46025</v>
      </c>
      <c r="B356" t="s">
        <v>12</v>
      </c>
      <c r="C356" t="s">
        <v>55</v>
      </c>
      <c r="D356" t="s">
        <v>79</v>
      </c>
      <c r="E356" s="5" t="s">
        <v>150</v>
      </c>
      <c r="F356" s="5" t="s">
        <v>16</v>
      </c>
      <c r="G356" s="7">
        <v>46029</v>
      </c>
      <c r="H356" s="7">
        <v>46029</v>
      </c>
      <c r="I356" s="5" t="s">
        <v>199</v>
      </c>
      <c r="J356" s="4" cm="1">
        <f t="array" ref="J35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356" s="5" t="str">
        <f>IF(Table1[[#This Row],[Unit''s Leave Quota]]&lt;=6, "Approved", "Quota Exceeded")</f>
        <v>Approved</v>
      </c>
      <c r="L356" s="5"/>
      <c r="M356" t="s">
        <v>207</v>
      </c>
    </row>
    <row r="357" spans="1:13" x14ac:dyDescent="0.3">
      <c r="A357" s="6">
        <v>46025</v>
      </c>
      <c r="B357" t="s">
        <v>12</v>
      </c>
      <c r="C357" t="s">
        <v>22</v>
      </c>
      <c r="D357" t="s">
        <v>231</v>
      </c>
      <c r="E357" s="5" t="s">
        <v>93</v>
      </c>
      <c r="F357" s="5" t="s">
        <v>16</v>
      </c>
      <c r="G357" s="7">
        <v>46351</v>
      </c>
      <c r="H357" s="7">
        <v>46362</v>
      </c>
      <c r="I357" s="5" t="s">
        <v>81</v>
      </c>
      <c r="J357" s="4" cm="1">
        <f t="array" ref="J35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357" s="5" t="str">
        <f>IF(Table1[[#This Row],[Unit''s Leave Quota]]&lt;=6, "Approved", "Quota Exceeded")</f>
        <v>Approved</v>
      </c>
      <c r="L357" s="5"/>
      <c r="M357" t="s">
        <v>335</v>
      </c>
    </row>
    <row r="358" spans="1:13" x14ac:dyDescent="0.3">
      <c r="A358" s="6">
        <v>46027</v>
      </c>
      <c r="B358" t="s">
        <v>12</v>
      </c>
      <c r="C358" t="s">
        <v>22</v>
      </c>
      <c r="D358" t="s">
        <v>26</v>
      </c>
      <c r="E358" s="5" t="s">
        <v>77</v>
      </c>
      <c r="F358" s="5" t="s">
        <v>16</v>
      </c>
      <c r="G358" s="7">
        <v>46033</v>
      </c>
      <c r="H358" s="7">
        <v>46033</v>
      </c>
      <c r="I358" s="5" t="s">
        <v>108</v>
      </c>
      <c r="J358" s="4" cm="1">
        <f t="array" ref="J35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358" s="5" t="str">
        <f>IF(Table1[[#This Row],[Unit''s Leave Quota]]&lt;=6, "Approved", "Quota Exceeded")</f>
        <v>Approved</v>
      </c>
      <c r="L358" s="5"/>
      <c r="M358" t="s">
        <v>155</v>
      </c>
    </row>
    <row r="359" spans="1:13" x14ac:dyDescent="0.3">
      <c r="A359" s="6">
        <v>46027</v>
      </c>
      <c r="B359" t="s">
        <v>12</v>
      </c>
      <c r="C359" t="s">
        <v>13</v>
      </c>
      <c r="D359" t="s">
        <v>62</v>
      </c>
      <c r="E359" s="5" t="s">
        <v>150</v>
      </c>
      <c r="F359" s="5" t="s">
        <v>16</v>
      </c>
      <c r="G359" s="7">
        <v>46038</v>
      </c>
      <c r="H359" s="7">
        <v>46039</v>
      </c>
      <c r="I359" s="5" t="s">
        <v>165</v>
      </c>
      <c r="J359" s="4" cm="1">
        <f t="array" ref="J35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359" s="5" t="str">
        <f>IF(Table1[[#This Row],[Unit''s Leave Quota]]&lt;=6, "Approved", "Quota Exceeded")</f>
        <v>Approved</v>
      </c>
      <c r="L359" s="5"/>
      <c r="M359" t="s">
        <v>152</v>
      </c>
    </row>
    <row r="360" spans="1:13" x14ac:dyDescent="0.3">
      <c r="A360" s="6">
        <v>46027</v>
      </c>
      <c r="B360" t="s">
        <v>12</v>
      </c>
      <c r="C360" t="s">
        <v>55</v>
      </c>
      <c r="D360" t="s">
        <v>217</v>
      </c>
      <c r="E360" s="5" t="s">
        <v>93</v>
      </c>
      <c r="F360" s="5" t="s">
        <v>16</v>
      </c>
      <c r="G360" s="7">
        <v>46140</v>
      </c>
      <c r="H360" s="7">
        <v>46154</v>
      </c>
      <c r="I360" s="5" t="s">
        <v>165</v>
      </c>
      <c r="J360" s="4" cm="1">
        <f t="array" ref="J36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360" s="5" t="str">
        <f>IF(Table1[[#This Row],[Unit''s Leave Quota]]&lt;=6, "Approved", "Quota Exceeded")</f>
        <v>Approved</v>
      </c>
      <c r="L360" s="5"/>
      <c r="M360" t="s">
        <v>152</v>
      </c>
    </row>
    <row r="361" spans="1:13" x14ac:dyDescent="0.3">
      <c r="A361" s="6">
        <v>46028</v>
      </c>
      <c r="B361" t="s">
        <v>12</v>
      </c>
      <c r="C361" t="s">
        <v>221</v>
      </c>
      <c r="D361" t="s">
        <v>132</v>
      </c>
      <c r="E361" s="5" t="s">
        <v>187</v>
      </c>
      <c r="F361" s="5" t="s">
        <v>16</v>
      </c>
      <c r="G361" s="7">
        <v>46032</v>
      </c>
      <c r="H361" s="7">
        <v>46032</v>
      </c>
      <c r="I361" s="5" t="s">
        <v>108</v>
      </c>
      <c r="J361" s="4" cm="1">
        <f t="array" ref="J36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361" s="5" t="str">
        <f>IF(Table1[[#This Row],[Unit''s Leave Quota]]&lt;=6, "Approved", "Quota Exceeded")</f>
        <v>Approved</v>
      </c>
      <c r="L361" s="5"/>
      <c r="M361" t="s">
        <v>155</v>
      </c>
    </row>
    <row r="362" spans="1:13" x14ac:dyDescent="0.3">
      <c r="A362" s="6">
        <v>46028</v>
      </c>
      <c r="B362" t="s">
        <v>12</v>
      </c>
      <c r="C362" t="s">
        <v>210</v>
      </c>
      <c r="D362" t="s">
        <v>170</v>
      </c>
      <c r="E362" s="5" t="s">
        <v>336</v>
      </c>
      <c r="F362" s="5" t="s">
        <v>16</v>
      </c>
      <c r="G362" s="7">
        <v>46123</v>
      </c>
      <c r="H362" s="7">
        <v>46135</v>
      </c>
      <c r="I362" s="5" t="s">
        <v>212</v>
      </c>
      <c r="J362" s="4" cm="1">
        <f t="array" ref="J36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362" s="5" t="str">
        <f>IF(Table1[[#This Row],[Unit''s Leave Quota]]&lt;=6, "Approved", "Quota Exceeded")</f>
        <v>Approved</v>
      </c>
      <c r="L362" s="5"/>
      <c r="M362" t="s">
        <v>182</v>
      </c>
    </row>
    <row r="363" spans="1:13" x14ac:dyDescent="0.3">
      <c r="A363" s="6">
        <v>46028</v>
      </c>
      <c r="B363" t="s">
        <v>12</v>
      </c>
      <c r="C363" t="s">
        <v>161</v>
      </c>
      <c r="D363" t="s">
        <v>147</v>
      </c>
      <c r="E363" s="5" t="s">
        <v>80</v>
      </c>
      <c r="F363" s="5" t="s">
        <v>16</v>
      </c>
      <c r="G363" s="7">
        <v>46143</v>
      </c>
      <c r="H363" s="7">
        <v>46145</v>
      </c>
      <c r="I363" s="5" t="s">
        <v>160</v>
      </c>
      <c r="J363" s="4" cm="1">
        <f t="array" ref="J36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363" s="5" t="str">
        <f>IF(Table1[[#This Row],[Unit''s Leave Quota]]&lt;=6, "Approved", "Quota Exceeded")</f>
        <v>Approved</v>
      </c>
      <c r="L363" s="5"/>
      <c r="M363" t="s">
        <v>182</v>
      </c>
    </row>
    <row r="364" spans="1:13" x14ac:dyDescent="0.3">
      <c r="A364" s="6">
        <v>46028</v>
      </c>
      <c r="B364" t="s">
        <v>12</v>
      </c>
      <c r="C364" t="s">
        <v>161</v>
      </c>
      <c r="D364" t="s">
        <v>147</v>
      </c>
      <c r="E364" s="5" t="s">
        <v>337</v>
      </c>
      <c r="F364" s="5" t="s">
        <v>16</v>
      </c>
      <c r="G364" s="7">
        <v>46177</v>
      </c>
      <c r="H364" s="7">
        <v>46187</v>
      </c>
      <c r="I364" s="5" t="s">
        <v>160</v>
      </c>
      <c r="J364" s="4" cm="1">
        <f t="array" ref="J36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364" s="5" t="str">
        <f>IF(Table1[[#This Row],[Unit''s Leave Quota]]&lt;=6, "Approved", "Quota Exceeded")</f>
        <v>Approved</v>
      </c>
      <c r="L364" s="5"/>
      <c r="M364" t="s">
        <v>182</v>
      </c>
    </row>
    <row r="365" spans="1:13" x14ac:dyDescent="0.3">
      <c r="A365" s="6">
        <v>46028</v>
      </c>
      <c r="B365" t="s">
        <v>12</v>
      </c>
      <c r="C365" t="s">
        <v>161</v>
      </c>
      <c r="D365" t="s">
        <v>147</v>
      </c>
      <c r="E365" s="5" t="s">
        <v>80</v>
      </c>
      <c r="F365" s="5" t="s">
        <v>16</v>
      </c>
      <c r="G365" s="7">
        <v>46193</v>
      </c>
      <c r="H365" s="7">
        <v>46196</v>
      </c>
      <c r="I365" s="5" t="s">
        <v>160</v>
      </c>
      <c r="J365" s="4" cm="1">
        <f t="array" ref="J36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365" s="5" t="str">
        <f>IF(Table1[[#This Row],[Unit''s Leave Quota]]&lt;=6, "Approved", "Quota Exceeded")</f>
        <v>Approved</v>
      </c>
      <c r="L365" s="5"/>
      <c r="M365" t="s">
        <v>182</v>
      </c>
    </row>
    <row r="366" spans="1:13" x14ac:dyDescent="0.3">
      <c r="A366" s="6">
        <v>46028</v>
      </c>
      <c r="B366" t="s">
        <v>12</v>
      </c>
      <c r="C366" t="s">
        <v>161</v>
      </c>
      <c r="D366" t="s">
        <v>147</v>
      </c>
      <c r="E366" s="5" t="s">
        <v>66</v>
      </c>
      <c r="F366" s="5" t="s">
        <v>16</v>
      </c>
      <c r="G366" s="7">
        <v>46270</v>
      </c>
      <c r="H366" s="7">
        <v>46278</v>
      </c>
      <c r="I366" s="5" t="s">
        <v>160</v>
      </c>
      <c r="J366" s="4" cm="1">
        <f t="array" ref="J36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366" s="5" t="str">
        <f>IF(Table1[[#This Row],[Unit''s Leave Quota]]&lt;=6, "Approved", "Quota Exceeded")</f>
        <v>Approved</v>
      </c>
      <c r="L366" s="5"/>
      <c r="M366" t="s">
        <v>182</v>
      </c>
    </row>
    <row r="367" spans="1:13" x14ac:dyDescent="0.3">
      <c r="A367" s="6">
        <v>46028</v>
      </c>
      <c r="B367" t="s">
        <v>12</v>
      </c>
      <c r="C367" t="s">
        <v>161</v>
      </c>
      <c r="D367" t="s">
        <v>147</v>
      </c>
      <c r="E367" s="5" t="s">
        <v>338</v>
      </c>
      <c r="F367" s="5" t="s">
        <v>16</v>
      </c>
      <c r="G367" s="7">
        <v>46353</v>
      </c>
      <c r="H367" s="7">
        <v>46369</v>
      </c>
      <c r="I367" s="5" t="s">
        <v>160</v>
      </c>
      <c r="J367" s="4" cm="1">
        <f t="array" ref="J36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367" s="5" t="str">
        <f>IF(Table1[[#This Row],[Unit''s Leave Quota]]&lt;=6, "Approved", "Quota Exceeded")</f>
        <v>Approved</v>
      </c>
      <c r="L367" s="5"/>
      <c r="M367" t="s">
        <v>182</v>
      </c>
    </row>
    <row r="368" spans="1:13" x14ac:dyDescent="0.3">
      <c r="A368" s="6">
        <v>46028</v>
      </c>
      <c r="B368" t="s">
        <v>12</v>
      </c>
      <c r="C368" t="s">
        <v>22</v>
      </c>
      <c r="D368" t="s">
        <v>73</v>
      </c>
      <c r="E368" s="5" t="s">
        <v>40</v>
      </c>
      <c r="F368" s="5" t="s">
        <v>16</v>
      </c>
      <c r="G368" s="7">
        <v>46360</v>
      </c>
      <c r="H368" s="7">
        <v>46375</v>
      </c>
      <c r="I368" s="5" t="s">
        <v>160</v>
      </c>
      <c r="J368" s="4" cm="1">
        <f t="array" ref="J36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368" s="5" t="str">
        <f>IF(Table1[[#This Row],[Unit''s Leave Quota]]&lt;=6, "Approved", "Quota Exceeded")</f>
        <v>Approved</v>
      </c>
      <c r="L368" s="5"/>
      <c r="M368" t="s">
        <v>339</v>
      </c>
    </row>
    <row r="369" spans="1:13" x14ac:dyDescent="0.3">
      <c r="A369" s="6">
        <v>46029</v>
      </c>
      <c r="B369" t="s">
        <v>12</v>
      </c>
      <c r="C369" t="s">
        <v>13</v>
      </c>
      <c r="D369" t="s">
        <v>245</v>
      </c>
      <c r="E369" s="5" t="s">
        <v>80</v>
      </c>
      <c r="F369" s="5" t="s">
        <v>16</v>
      </c>
      <c r="G369" s="7">
        <v>46023</v>
      </c>
      <c r="H369" s="7">
        <v>46023</v>
      </c>
      <c r="I369" s="5" t="s">
        <v>199</v>
      </c>
      <c r="J369" s="4" cm="1">
        <f t="array" ref="J36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369" s="5" t="str">
        <f>IF(Table1[[#This Row],[Unit''s Leave Quota]]&lt;=6, "Approved", "Quota Exceeded")</f>
        <v>Approved</v>
      </c>
      <c r="L369" s="5"/>
      <c r="M369" t="s">
        <v>340</v>
      </c>
    </row>
    <row r="370" spans="1:13" x14ac:dyDescent="0.3">
      <c r="A370" s="6">
        <v>46029</v>
      </c>
      <c r="B370" t="s">
        <v>12</v>
      </c>
      <c r="C370" t="s">
        <v>210</v>
      </c>
      <c r="D370" t="s">
        <v>158</v>
      </c>
      <c r="E370" s="5" t="s">
        <v>341</v>
      </c>
      <c r="F370" s="5" t="s">
        <v>16</v>
      </c>
      <c r="G370" s="7">
        <v>46370</v>
      </c>
      <c r="H370" s="7">
        <v>46376</v>
      </c>
      <c r="I370" s="5" t="s">
        <v>342</v>
      </c>
      <c r="J370" s="4" cm="1">
        <f t="array" ref="J37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370" s="5" t="str">
        <f>IF(Table1[[#This Row],[Unit''s Leave Quota]]&lt;=6, "Approved", "Quota Exceeded")</f>
        <v>Approved</v>
      </c>
      <c r="L370" s="5"/>
      <c r="M370" t="s">
        <v>152</v>
      </c>
    </row>
    <row r="371" spans="1:13" hidden="1" x14ac:dyDescent="0.3">
      <c r="A371" s="6">
        <v>46029</v>
      </c>
      <c r="B371" t="s">
        <v>12</v>
      </c>
      <c r="C371" t="s">
        <v>41</v>
      </c>
      <c r="D371" t="s">
        <v>308</v>
      </c>
      <c r="E371" s="5" t="s">
        <v>117</v>
      </c>
      <c r="F371" s="5" t="s">
        <v>16</v>
      </c>
      <c r="G371" s="7">
        <v>46384</v>
      </c>
      <c r="H371" s="7">
        <v>46390</v>
      </c>
      <c r="I371" s="5" t="s">
        <v>165</v>
      </c>
      <c r="J371" s="4" cm="1">
        <f t="array" ref="J371">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371" s="5" t="str">
        <f>IF(Table1[[#This Row],[Unit''s Leave Quota]]&lt;=6, "Approved", "Quota Exceeded")</f>
        <v>Approved</v>
      </c>
      <c r="L371" s="5"/>
      <c r="M371" t="s">
        <v>152</v>
      </c>
    </row>
    <row r="372" spans="1:13" x14ac:dyDescent="0.3">
      <c r="A372" s="6">
        <v>46032</v>
      </c>
      <c r="B372" t="s">
        <v>12</v>
      </c>
      <c r="C372" t="s">
        <v>13</v>
      </c>
      <c r="D372" t="s">
        <v>62</v>
      </c>
      <c r="E372" s="5" t="s">
        <v>150</v>
      </c>
      <c r="F372" s="5" t="s">
        <v>16</v>
      </c>
      <c r="G372" s="7">
        <v>46036</v>
      </c>
      <c r="H372" s="7">
        <v>46036</v>
      </c>
      <c r="I372" s="5" t="s">
        <v>165</v>
      </c>
      <c r="J372" s="4" cm="1">
        <f t="array" ref="J372">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372" s="5" t="str">
        <f>IF(Table1[[#This Row],[Unit''s Leave Quota]]&lt;=6, "Approved", "Quota Exceeded")</f>
        <v>Approved</v>
      </c>
      <c r="L372" s="5"/>
      <c r="M372" t="s">
        <v>152</v>
      </c>
    </row>
    <row r="373" spans="1:13" x14ac:dyDescent="0.3">
      <c r="A373" s="6">
        <v>46034</v>
      </c>
      <c r="B373" t="s">
        <v>12</v>
      </c>
      <c r="C373" t="s">
        <v>173</v>
      </c>
      <c r="D373" t="s">
        <v>300</v>
      </c>
      <c r="E373" s="5" t="s">
        <v>150</v>
      </c>
      <c r="F373" s="5" t="s">
        <v>16</v>
      </c>
      <c r="G373" s="7">
        <v>46038</v>
      </c>
      <c r="H373" s="7">
        <v>46040</v>
      </c>
      <c r="I373" s="5" t="s">
        <v>30</v>
      </c>
      <c r="J373" s="4" cm="1">
        <f t="array" ref="J373">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4</v>
      </c>
      <c r="K373" s="5" t="str">
        <f>IF(Table1[[#This Row],[Unit''s Leave Quota]]&lt;=6, "Approved", "Quota Exceeded")</f>
        <v>Approved</v>
      </c>
      <c r="L373" s="5"/>
      <c r="M373" t="s">
        <v>343</v>
      </c>
    </row>
    <row r="374" spans="1:13" x14ac:dyDescent="0.3">
      <c r="A374" s="6">
        <v>46034</v>
      </c>
      <c r="B374" t="s">
        <v>12</v>
      </c>
      <c r="C374" t="s">
        <v>13</v>
      </c>
      <c r="D374" t="s">
        <v>238</v>
      </c>
      <c r="E374" s="5" t="s">
        <v>344</v>
      </c>
      <c r="F374" s="5" t="s">
        <v>16</v>
      </c>
      <c r="G374" s="7">
        <v>46162</v>
      </c>
      <c r="H374" s="7">
        <v>46167</v>
      </c>
      <c r="I374" s="5" t="s">
        <v>108</v>
      </c>
      <c r="J374" s="4" cm="1">
        <f t="array" ref="J374">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1</v>
      </c>
      <c r="K374" s="5" t="str">
        <f>IF(Table1[[#This Row],[Unit''s Leave Quota]]&lt;=6, "Approved", "Quota Exceeded")</f>
        <v>Approved</v>
      </c>
      <c r="L374" s="5"/>
      <c r="M374" t="s">
        <v>155</v>
      </c>
    </row>
    <row r="375" spans="1:13" x14ac:dyDescent="0.3">
      <c r="A375" s="6">
        <v>46035</v>
      </c>
      <c r="B375" t="s">
        <v>12</v>
      </c>
      <c r="C375" t="s">
        <v>265</v>
      </c>
      <c r="D375" t="s">
        <v>132</v>
      </c>
      <c r="E375" s="5" t="s">
        <v>15</v>
      </c>
      <c r="F375" s="5" t="s">
        <v>16</v>
      </c>
      <c r="G375" s="7">
        <v>46095</v>
      </c>
      <c r="H375" s="7">
        <v>46098</v>
      </c>
      <c r="I375" s="5" t="s">
        <v>108</v>
      </c>
      <c r="J375" s="4" cm="1">
        <f t="array" ref="J375">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375" s="5" t="str">
        <f>IF(Table1[[#This Row],[Unit''s Leave Quota]]&lt;=6, "Approved", "Quota Exceeded")</f>
        <v>Approved</v>
      </c>
      <c r="L375" s="5" t="s">
        <v>354</v>
      </c>
      <c r="M375" t="s">
        <v>155</v>
      </c>
    </row>
    <row r="376" spans="1:13" x14ac:dyDescent="0.3">
      <c r="A376" s="6">
        <v>46038</v>
      </c>
      <c r="B376" t="s">
        <v>12</v>
      </c>
      <c r="C376" t="s">
        <v>13</v>
      </c>
      <c r="D376" t="s">
        <v>121</v>
      </c>
      <c r="E376" s="5" t="s">
        <v>15</v>
      </c>
      <c r="F376" s="5" t="s">
        <v>16</v>
      </c>
      <c r="G376" s="7">
        <v>46184</v>
      </c>
      <c r="H376" s="7">
        <v>46197</v>
      </c>
      <c r="I376" s="5" t="s">
        <v>108</v>
      </c>
      <c r="J376" s="4" cm="1">
        <f t="array" ref="J376">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3</v>
      </c>
      <c r="K376" s="5" t="str">
        <f>IF(Table1[[#This Row],[Unit''s Leave Quota]]&lt;=6, "Approved", "Quota Exceeded")</f>
        <v>Approved</v>
      </c>
      <c r="L376" s="5" t="s">
        <v>354</v>
      </c>
      <c r="M376" t="s">
        <v>155</v>
      </c>
    </row>
    <row r="377" spans="1:13" x14ac:dyDescent="0.3">
      <c r="A377" s="6">
        <v>46038</v>
      </c>
      <c r="B377" t="s">
        <v>12</v>
      </c>
      <c r="C377" t="s">
        <v>13</v>
      </c>
      <c r="D377" t="s">
        <v>121</v>
      </c>
      <c r="E377" s="5" t="s">
        <v>77</v>
      </c>
      <c r="F377" s="5" t="s">
        <v>16</v>
      </c>
      <c r="G377" s="7">
        <v>46024</v>
      </c>
      <c r="H377" s="7">
        <v>46025</v>
      </c>
      <c r="I377" s="5" t="s">
        <v>108</v>
      </c>
      <c r="J377" s="4" cm="1">
        <f t="array" ref="J377">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377" s="5" t="str">
        <f>IF(Table1[[#This Row],[Unit''s Leave Quota]]&lt;=6, "Approved", "Quota Exceeded")</f>
        <v>Approved</v>
      </c>
      <c r="L377" s="5" t="s">
        <v>356</v>
      </c>
      <c r="M377" t="s">
        <v>155</v>
      </c>
    </row>
    <row r="378" spans="1:13" x14ac:dyDescent="0.3">
      <c r="A378" s="6">
        <v>46040</v>
      </c>
      <c r="B378" t="s">
        <v>12</v>
      </c>
      <c r="C378" t="s">
        <v>22</v>
      </c>
      <c r="D378" t="s">
        <v>132</v>
      </c>
      <c r="E378" s="5" t="s">
        <v>187</v>
      </c>
      <c r="F378" s="5" t="s">
        <v>16</v>
      </c>
      <c r="G378" s="7">
        <v>46024</v>
      </c>
      <c r="H378" s="7">
        <v>46025</v>
      </c>
      <c r="I378" s="5" t="s">
        <v>108</v>
      </c>
      <c r="J378" s="4" cm="1">
        <f t="array" ref="J378">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6</v>
      </c>
      <c r="K378" s="5" t="str">
        <f>IF(Table1[[#This Row],[Unit''s Leave Quota]]&lt;=6, "Approved", "Quota Exceeded")</f>
        <v>Approved</v>
      </c>
      <c r="L378" s="5" t="s">
        <v>356</v>
      </c>
      <c r="M378" t="s">
        <v>155</v>
      </c>
    </row>
    <row r="379" spans="1:13" x14ac:dyDescent="0.3">
      <c r="A379" s="6">
        <v>46041</v>
      </c>
      <c r="B379" t="s">
        <v>12</v>
      </c>
      <c r="C379" t="s">
        <v>13</v>
      </c>
      <c r="D379" t="s">
        <v>62</v>
      </c>
      <c r="E379" s="5" t="s">
        <v>345</v>
      </c>
      <c r="F379" s="5" t="s">
        <v>16</v>
      </c>
      <c r="G379" s="7">
        <v>46023</v>
      </c>
      <c r="H379" s="7">
        <v>46023</v>
      </c>
      <c r="I379" s="5" t="s">
        <v>165</v>
      </c>
      <c r="J379" s="4" cm="1">
        <f t="array" ref="J379">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5</v>
      </c>
      <c r="K379" s="5" t="str">
        <f>IF(Table1[[#This Row],[Unit''s Leave Quota]]&lt;=6, "Approved", "Quota Exceeded")</f>
        <v>Approved</v>
      </c>
      <c r="L379" s="5" t="s">
        <v>355</v>
      </c>
      <c r="M379" t="s">
        <v>152</v>
      </c>
    </row>
    <row r="380" spans="1:13" x14ac:dyDescent="0.3">
      <c r="A380" s="6">
        <v>46043</v>
      </c>
      <c r="B380" t="s">
        <v>12</v>
      </c>
      <c r="C380" t="s">
        <v>161</v>
      </c>
      <c r="D380" t="s">
        <v>91</v>
      </c>
      <c r="E380" s="5" t="s">
        <v>139</v>
      </c>
      <c r="F380" s="5" t="s">
        <v>16</v>
      </c>
      <c r="G380" s="7">
        <v>46063</v>
      </c>
      <c r="H380" s="7">
        <v>46063</v>
      </c>
      <c r="I380" s="5" t="s">
        <v>239</v>
      </c>
      <c r="J380" s="4" cm="1">
        <f t="array" ref="J380">MAX(COUNTIFS(Table1[Date of Departure], "&lt;=" &amp; _xlfn.SEQUENCE(Table1[[#This Row],[Date of Return]] - Table1[[#This Row],[Date of Departure]] + 1, , Table1[[#This Row],[Date of Departure]]), Table1[Date of Return], "&gt;=" &amp; _xlfn.SEQUENCE(Table1[[#This Row],[Date of Return]] - Table1[[#This Row],[Date of Departure]] + 1, , Table1[[#This Row],[Date of Departure]])))</f>
        <v>2</v>
      </c>
      <c r="K380" s="5" t="str">
        <f>IF(Table1[[#This Row],[Unit''s Leave Quota]]&lt;=6, "Approved", "Quota Exceeded")</f>
        <v>Approved</v>
      </c>
      <c r="L380" s="5" t="s">
        <v>354</v>
      </c>
      <c r="M380" t="s">
        <v>219</v>
      </c>
    </row>
  </sheetData>
  <conditionalFormatting sqref="A2:XFD105 A106:M1048576">
    <cfRule type="expression" dxfId="53" priority="1">
      <formula>$H2&lt;TODAY()</formula>
    </cfRule>
  </conditionalFormatting>
  <conditionalFormatting sqref="N106:XFD106">
    <cfRule type="expression" dxfId="52" priority="47">
      <formula>$H341&lt;TODAY()</formula>
    </cfRule>
  </conditionalFormatting>
  <conditionalFormatting sqref="N107:XFD121">
    <cfRule type="expression" dxfId="51" priority="192">
      <formula>$H381&lt;TODAY()</formula>
    </cfRule>
  </conditionalFormatting>
  <conditionalFormatting sqref="N122:XFD122">
    <cfRule type="expression" dxfId="50" priority="35">
      <formula>$H147&lt;TODAY()</formula>
    </cfRule>
  </conditionalFormatting>
  <conditionalFormatting sqref="N123:XFD124">
    <cfRule type="expression" dxfId="49" priority="24">
      <formula>#REF!&lt;TODAY()</formula>
    </cfRule>
  </conditionalFormatting>
  <conditionalFormatting sqref="N125:XFD126">
    <cfRule type="expression" dxfId="48" priority="22">
      <formula>$H155&lt;TODAY()</formula>
    </cfRule>
  </conditionalFormatting>
  <conditionalFormatting sqref="N127:XFD129">
    <cfRule type="expression" dxfId="47" priority="29">
      <formula>$H156&lt;TODAY()</formula>
    </cfRule>
  </conditionalFormatting>
  <conditionalFormatting sqref="N130:XFD151 N164:XFD167">
    <cfRule type="expression" dxfId="46" priority="31">
      <formula>$H162&lt;TODAY()</formula>
    </cfRule>
  </conditionalFormatting>
  <conditionalFormatting sqref="N152:XFD152">
    <cfRule type="expression" dxfId="45" priority="63">
      <formula>#REF!&lt;TODAY()</formula>
    </cfRule>
  </conditionalFormatting>
  <conditionalFormatting sqref="N153:XFD159">
    <cfRule type="expression" dxfId="44" priority="60">
      <formula>$H184&lt;TODAY()</formula>
    </cfRule>
  </conditionalFormatting>
  <conditionalFormatting sqref="N160:XFD160">
    <cfRule type="expression" dxfId="43" priority="56">
      <formula>#REF!&lt;TODAY()</formula>
    </cfRule>
  </conditionalFormatting>
  <conditionalFormatting sqref="N161:XFD162 N171:XFD172">
    <cfRule type="expression" dxfId="42" priority="51">
      <formula>$H194&lt;TODAY()</formula>
    </cfRule>
  </conditionalFormatting>
  <conditionalFormatting sqref="N163:XFD163">
    <cfRule type="expression" dxfId="41" priority="70">
      <formula>#REF!&lt;TODAY()</formula>
    </cfRule>
  </conditionalFormatting>
  <conditionalFormatting sqref="N168:XFD168 N170:XFD170">
    <cfRule type="expression" dxfId="40" priority="86">
      <formula>#REF!&lt;TODAY()</formula>
    </cfRule>
  </conditionalFormatting>
  <conditionalFormatting sqref="N169:XFD169">
    <cfRule type="expression" dxfId="39" priority="82">
      <formula>$H203&lt;TODAY()</formula>
    </cfRule>
  </conditionalFormatting>
  <conditionalFormatting sqref="N173:XFD174">
    <cfRule type="expression" dxfId="38" priority="112">
      <formula>#REF!&lt;TODAY()</formula>
    </cfRule>
  </conditionalFormatting>
  <conditionalFormatting sqref="N175:XFD175">
    <cfRule type="expression" dxfId="37" priority="104">
      <formula>$H341&lt;TODAY()</formula>
    </cfRule>
  </conditionalFormatting>
  <conditionalFormatting sqref="N176:XFD202">
    <cfRule type="expression" dxfId="36" priority="194">
      <formula>$H381&lt;TODAY()</formula>
    </cfRule>
  </conditionalFormatting>
  <conditionalFormatting sqref="N203:XFD203">
    <cfRule type="expression" dxfId="35" priority="101">
      <formula>$H409&lt;TODAY()</formula>
    </cfRule>
  </conditionalFormatting>
  <conditionalFormatting sqref="N204:XFD205">
    <cfRule type="expression" dxfId="34" priority="120">
      <formula>$H390&lt;TODAY()</formula>
    </cfRule>
  </conditionalFormatting>
  <conditionalFormatting sqref="N206:XFD211">
    <cfRule type="expression" dxfId="33" priority="126">
      <formula>$H394&lt;TODAY()</formula>
    </cfRule>
  </conditionalFormatting>
  <conditionalFormatting sqref="N212:XFD222">
    <cfRule type="expression" dxfId="32" priority="124">
      <formula>$H401&lt;TODAY()</formula>
    </cfRule>
  </conditionalFormatting>
  <conditionalFormatting sqref="N223:XFD223">
    <cfRule type="expression" dxfId="31" priority="130">
      <formula>$H413&lt;TODAY()</formula>
    </cfRule>
  </conditionalFormatting>
  <conditionalFormatting sqref="N224:XFD234">
    <cfRule type="expression" dxfId="30" priority="145">
      <formula>$H392&lt;TODAY()</formula>
    </cfRule>
  </conditionalFormatting>
  <conditionalFormatting sqref="N235:XFD259">
    <cfRule type="expression" dxfId="29" priority="141">
      <formula>$H404&lt;TODAY()</formula>
    </cfRule>
  </conditionalFormatting>
  <conditionalFormatting sqref="N260:XFD260">
    <cfRule type="expression" dxfId="28" priority="138">
      <formula>$H419&lt;TODAY()</formula>
    </cfRule>
  </conditionalFormatting>
  <conditionalFormatting sqref="N261:XFD263 N284:XFD284">
    <cfRule type="expression" dxfId="27" priority="142">
      <formula>$H309&lt;TODAY()</formula>
    </cfRule>
  </conditionalFormatting>
  <conditionalFormatting sqref="N264:XFD264">
    <cfRule type="expression" dxfId="26" priority="168">
      <formula>$H332&lt;TODAY()</formula>
    </cfRule>
  </conditionalFormatting>
  <conditionalFormatting sqref="N265:XFD265">
    <cfRule type="expression" dxfId="25" priority="185">
      <formula>$H341&lt;TODAY()</formula>
    </cfRule>
  </conditionalFormatting>
  <conditionalFormatting sqref="N266:XFD271">
    <cfRule type="expression" dxfId="24" priority="196">
      <formula>$H381&lt;TODAY()</formula>
    </cfRule>
  </conditionalFormatting>
  <conditionalFormatting sqref="N272:XFD276">
    <cfRule type="expression" dxfId="23" priority="165">
      <formula>$H388&lt;TODAY()</formula>
    </cfRule>
  </conditionalFormatting>
  <conditionalFormatting sqref="N277:XFD279">
    <cfRule type="expression" dxfId="22" priority="150">
      <formula>$H328&lt;TODAY()</formula>
    </cfRule>
  </conditionalFormatting>
  <conditionalFormatting sqref="N280:XFD281">
    <cfRule type="expression" dxfId="21" priority="204">
      <formula>#REF!&lt;TODAY()</formula>
    </cfRule>
  </conditionalFormatting>
  <conditionalFormatting sqref="N282:XFD282">
    <cfRule type="expression" dxfId="20" priority="212">
      <formula>$H331&lt;TODAY()</formula>
    </cfRule>
  </conditionalFormatting>
  <conditionalFormatting sqref="N283:XFD283">
    <cfRule type="expression" dxfId="19" priority="176">
      <formula>#REF!&lt;TODAY()</formula>
    </cfRule>
  </conditionalFormatting>
  <conditionalFormatting sqref="N285:XFD285">
    <cfRule type="expression" dxfId="18" priority="188">
      <formula>$H341&lt;TODAY()</formula>
    </cfRule>
  </conditionalFormatting>
  <conditionalFormatting sqref="N286:XFD298">
    <cfRule type="expression" dxfId="17" priority="213">
      <formula>$H381&lt;TODAY()</formula>
    </cfRule>
  </conditionalFormatting>
  <conditionalFormatting sqref="N299:XFD330">
    <cfRule type="expression" dxfId="16" priority="207">
      <formula>$H395&lt;TODAY()</formula>
    </cfRule>
  </conditionalFormatting>
  <conditionalFormatting sqref="N331:XFD331">
    <cfRule type="expression" dxfId="15" priority="198">
      <formula>$H429&lt;TODAY()</formula>
    </cfRule>
  </conditionalFormatting>
  <conditionalFormatting sqref="N332:XFD376">
    <cfRule type="expression" dxfId="14" priority="217">
      <formula>$H392&lt;TODAY()</formula>
    </cfRule>
  </conditionalFormatting>
  <conditionalFormatting sqref="N377:XFD1048514">
    <cfRule type="expression" dxfId="13" priority="186">
      <formula>$H438&lt;TODAY()</formula>
    </cfRule>
  </conditionalFormatting>
  <conditionalFormatting sqref="N1048515:XFD1048518">
    <cfRule type="expression" dxfId="12" priority="218">
      <formula>$H1&lt;TODAY()</formula>
    </cfRule>
  </conditionalFormatting>
  <conditionalFormatting sqref="N1048519:XFD1048519">
    <cfRule type="expression" dxfId="11" priority="181">
      <formula>$H1&lt;TODAY()</formula>
    </cfRule>
  </conditionalFormatting>
  <conditionalFormatting sqref="N1048520:XFD1048520">
    <cfRule type="expression" dxfId="10" priority="158">
      <formula>$H1&lt;TODAY()</formula>
    </cfRule>
  </conditionalFormatting>
  <conditionalFormatting sqref="N1048521:XFD1048521">
    <cfRule type="expression" dxfId="9" priority="162">
      <formula>$H1&lt;TODAY()</formula>
    </cfRule>
  </conditionalFormatting>
  <conditionalFormatting sqref="N1048522:XFD1048522">
    <cfRule type="expression" dxfId="8" priority="172">
      <formula>$H1&lt;TODAY()</formula>
    </cfRule>
  </conditionalFormatting>
  <conditionalFormatting sqref="N1048523:XFD1048523">
    <cfRule type="expression" dxfId="7" priority="114">
      <formula>$H1&lt;TODAY()</formula>
    </cfRule>
  </conditionalFormatting>
  <conditionalFormatting sqref="N1048524:XFD1048524">
    <cfRule type="expression" dxfId="6" priority="84">
      <formula>$H1&lt;TODAY()</formula>
    </cfRule>
  </conditionalFormatting>
  <conditionalFormatting sqref="N1048525:XFD1048525">
    <cfRule type="expression" dxfId="5" priority="91">
      <formula>$H1&lt;TODAY()</formula>
    </cfRule>
  </conditionalFormatting>
  <conditionalFormatting sqref="N1048526:XFD1048576">
    <cfRule type="expression" dxfId="4" priority="96">
      <formula>$H1&lt;TODAY()</formula>
    </cfRule>
  </conditionalFormatting>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C5830-F603-4F4C-AB69-B357DB7E6E5E}">
  <dimension ref="A1:M3"/>
  <sheetViews>
    <sheetView workbookViewId="0">
      <selection activeCell="O11" sqref="O11"/>
    </sheetView>
  </sheetViews>
  <sheetFormatPr defaultRowHeight="14.4" x14ac:dyDescent="0.3"/>
  <cols>
    <col min="1" max="1" width="10.33203125" style="16" customWidth="1"/>
    <col min="4" max="5" width="8.88671875" customWidth="1"/>
    <col min="7" max="7" width="9.33203125" style="16" bestFit="1" customWidth="1"/>
    <col min="8" max="8" width="10.33203125" style="16" bestFit="1" customWidth="1"/>
  </cols>
  <sheetData>
    <row r="1" spans="1:13" x14ac:dyDescent="0.3">
      <c r="A1" s="16" t="str" cm="1">
        <f t="array" ref="A1:M3">_xlfn.VSTACK(Table1[#Headers], _xlfn._xlws.FILTER(Table1[], Table1[Unit]="Ops"))</f>
        <v>Date of Submmision</v>
      </c>
      <c r="B1" t="str">
        <v>Scheme</v>
      </c>
      <c r="C1" t="str">
        <v>Rank</v>
      </c>
      <c r="D1" t="str">
        <v>Name of Officer applying for leave (Full Name)</v>
      </c>
      <c r="E1" t="str">
        <v>Country of Travel
Country, State</v>
      </c>
      <c r="F1" t="str">
        <v>Own Quota/ Borrowed Quota</v>
      </c>
      <c r="G1" s="16" t="str">
        <v>Date of Departure</v>
      </c>
      <c r="H1" s="16" t="str">
        <v>Date of Return</v>
      </c>
      <c r="I1" t="str">
        <v>Leave Approving Officer in HRP</v>
      </c>
      <c r="J1" t="str">
        <v>Unit's Leave Quota</v>
      </c>
      <c r="K1" t="str">
        <v>OC Approved?</v>
      </c>
      <c r="L1" t="str">
        <v>Unit</v>
      </c>
      <c r="M1" t="str">
        <v>Remarks</v>
      </c>
    </row>
    <row r="2" spans="1:13" x14ac:dyDescent="0.3">
      <c r="A2" s="16">
        <v>46038</v>
      </c>
      <c r="B2" t="str">
        <v>Reg</v>
      </c>
      <c r="C2" t="str">
        <v>SI</v>
      </c>
      <c r="D2" t="str">
        <v>Zainal Abideen</v>
      </c>
      <c r="E2" t="str">
        <v>Malaysia, JB</v>
      </c>
      <c r="F2" t="str">
        <v>Own Quota</v>
      </c>
      <c r="G2" s="16">
        <v>46024</v>
      </c>
      <c r="H2" s="16">
        <v>46025</v>
      </c>
      <c r="I2" t="str">
        <v>Marah Ishraf</v>
      </c>
      <c r="J2">
        <v>6</v>
      </c>
      <c r="K2" t="str">
        <v>Approved</v>
      </c>
      <c r="L2" t="str">
        <v>Ops</v>
      </c>
      <c r="M2" t="str">
        <v>Nil</v>
      </c>
    </row>
    <row r="3" spans="1:13" x14ac:dyDescent="0.3">
      <c r="A3" s="16">
        <v>46040</v>
      </c>
      <c r="B3" t="str">
        <v>Reg</v>
      </c>
      <c r="C3" t="str">
        <v>Sgt(3)</v>
      </c>
      <c r="D3" t="str">
        <v>Krishna S/O Jeyaseelan</v>
      </c>
      <c r="E3" t="str">
        <v>JB</v>
      </c>
      <c r="F3" t="str">
        <v>Own Quota</v>
      </c>
      <c r="G3" s="16">
        <v>46024</v>
      </c>
      <c r="H3" s="16">
        <v>46025</v>
      </c>
      <c r="I3" t="str">
        <v>Marah Ishraf</v>
      </c>
      <c r="J3">
        <v>6</v>
      </c>
      <c r="K3" t="str">
        <v>Approved</v>
      </c>
      <c r="L3" t="str">
        <v>Ops</v>
      </c>
      <c r="M3" t="str">
        <v>Nil</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FF5C9-BF68-44E5-AB0E-CAA6475D9055}">
  <dimension ref="A1:G368"/>
  <sheetViews>
    <sheetView tabSelected="1" workbookViewId="0">
      <selection activeCell="D8" sqref="D8"/>
    </sheetView>
  </sheetViews>
  <sheetFormatPr defaultRowHeight="14.4" x14ac:dyDescent="0.3"/>
  <cols>
    <col min="1" max="2" width="29.21875" style="16" customWidth="1"/>
    <col min="4" max="4" width="16.21875" customWidth="1"/>
    <col min="5" max="5" width="24.77734375" style="17" customWidth="1"/>
    <col min="6" max="6" width="14.88671875" customWidth="1"/>
  </cols>
  <sheetData>
    <row r="1" spans="1:7" x14ac:dyDescent="0.3">
      <c r="A1" s="16" t="s">
        <v>347</v>
      </c>
      <c r="B1" s="16" t="s">
        <v>350</v>
      </c>
      <c r="C1" t="s">
        <v>348</v>
      </c>
      <c r="D1" t="s">
        <v>351</v>
      </c>
      <c r="E1" t="s">
        <v>352</v>
      </c>
      <c r="F1" t="s">
        <v>349</v>
      </c>
      <c r="G1">
        <v>6</v>
      </c>
    </row>
    <row r="2" spans="1:7" x14ac:dyDescent="0.3">
      <c r="A2" s="16">
        <v>46023</v>
      </c>
      <c r="B2">
        <f>COUNTIFS('2025'!G:G,"&lt;="&amp;A2,'2025'!H:H,"&gt;="&amp;A2)</f>
        <v>5</v>
      </c>
      <c r="C2">
        <f>$G$1-B2</f>
        <v>1</v>
      </c>
      <c r="D2" t="str">
        <f>IF(C2&lt;0,"OVERBOOKED",IF(C2=0,"FULL","AVAILABLE"))</f>
        <v>AVAILABLE</v>
      </c>
      <c r="E2" s="17" t="str" cm="1">
        <f t="array" ref="E2">IF(D2="OVERBOOKED",
HYPERLINK("#'2025'!A"&amp;
LOOKUP(2,1/(('2025'!A$2:A$1000=
_xlfn.MAXIFS('2025'!A:A,'2025'!G:G,"&lt;="&amp;A2,'2025'!H:H,"&gt;="&amp;A2))
*('2025'!G$2:G$1000&lt;=A2)
*('2025'!H$2:H$1000&gt;=A2)),
ROW('2025'!A$2:A$1000)
),
"Review"
),
"")</f>
        <v/>
      </c>
    </row>
    <row r="3" spans="1:7" x14ac:dyDescent="0.3">
      <c r="A3" s="16">
        <f>A2+1</f>
        <v>46024</v>
      </c>
      <c r="B3">
        <f>COUNTIFS('2025'!G:G,"&lt;="&amp;A3,'2025'!H:H,"&gt;="&amp;A3)</f>
        <v>4</v>
      </c>
      <c r="C3">
        <f t="shared" ref="C3:C66" si="0">$G$1-B3</f>
        <v>2</v>
      </c>
      <c r="D3" t="str">
        <f t="shared" ref="D3:D66" si="1">IF(C3&lt;0,"OVERBOOKED",IF(C3=0,"FULL","AVAILABLE"))</f>
        <v>AVAILABLE</v>
      </c>
      <c r="E3" s="17" t="str" cm="1">
        <f t="array" ref="E3">IF(D3="OVERBOOKED",
HYPERLINK("#'2025'!A"&amp;
LOOKUP(2,1/(('2025'!A$2:A$1000=
_xlfn.MAXIFS('2025'!A:A,'2025'!G:G,"&lt;="&amp;A3,'2025'!H:H,"&gt;="&amp;A3))
*('2025'!G$2:G$1000&lt;=A3)
*('2025'!H$2:H$1000&gt;=A3)),
ROW('2025'!A$2:A$1000)
),
"Review"
),
"")</f>
        <v/>
      </c>
    </row>
    <row r="4" spans="1:7" x14ac:dyDescent="0.3">
      <c r="A4" s="16">
        <f t="shared" ref="A4:A67" si="2">A3+1</f>
        <v>46025</v>
      </c>
      <c r="B4">
        <f>COUNTIFS('2025'!G:G,"&lt;="&amp;A4,'2025'!H:H,"&gt;="&amp;A4)</f>
        <v>6</v>
      </c>
      <c r="C4">
        <f t="shared" si="0"/>
        <v>0</v>
      </c>
      <c r="D4" t="str">
        <f t="shared" si="1"/>
        <v>FULL</v>
      </c>
      <c r="E4" s="17" t="str" cm="1">
        <f t="array" ref="E4">IF(D4="OVERBOOKED",
HYPERLINK("#'2025'!A"&amp;
LOOKUP(2,1/(('2025'!A$2:A$1000=
_xlfn.MAXIFS('2025'!A:A,'2025'!G:G,"&lt;="&amp;A4,'2025'!H:H,"&gt;="&amp;A4))
*('2025'!G$2:G$1000&lt;=A4)
*('2025'!H$2:H$1000&gt;=A4)),
ROW('2025'!A$2:A$1000)
),
"Review"
),
"")</f>
        <v/>
      </c>
    </row>
    <row r="5" spans="1:7" x14ac:dyDescent="0.3">
      <c r="A5" s="16">
        <f t="shared" si="2"/>
        <v>46026</v>
      </c>
      <c r="B5">
        <f>COUNTIFS('2025'!G:G,"&lt;="&amp;A5,'2025'!H:H,"&gt;="&amp;A5)</f>
        <v>3</v>
      </c>
      <c r="C5">
        <f t="shared" si="0"/>
        <v>3</v>
      </c>
      <c r="D5" t="str">
        <f t="shared" si="1"/>
        <v>AVAILABLE</v>
      </c>
      <c r="E5" s="17" t="str" cm="1">
        <f t="array" ref="E5">IF(D5="OVERBOOKED",
HYPERLINK("#'2025'!A"&amp;
LOOKUP(2,1/(('2025'!A$2:A$1000=
_xlfn.MAXIFS('2025'!A:A,'2025'!G:G,"&lt;="&amp;A5,'2025'!H:H,"&gt;="&amp;A5))
*('2025'!G$2:G$1000&lt;=A5)
*('2025'!H$2:H$1000&gt;=A5)),
ROW('2025'!A$2:A$1000)
),
"Review"
),
"")</f>
        <v/>
      </c>
    </row>
    <row r="6" spans="1:7" x14ac:dyDescent="0.3">
      <c r="A6" s="16">
        <f t="shared" si="2"/>
        <v>46027</v>
      </c>
      <c r="B6">
        <f>COUNTIFS('2025'!G:G,"&lt;="&amp;A6,'2025'!H:H,"&gt;="&amp;A6)</f>
        <v>1</v>
      </c>
      <c r="C6">
        <f t="shared" si="0"/>
        <v>5</v>
      </c>
      <c r="D6" t="str">
        <f t="shared" si="1"/>
        <v>AVAILABLE</v>
      </c>
      <c r="E6" s="17" t="str" cm="1">
        <f t="array" ref="E6">IF(D6="OVERBOOKED",
HYPERLINK("#'2025'!A"&amp;
LOOKUP(2,1/(('2025'!A$2:A$1000=
_xlfn.MAXIFS('2025'!A:A,'2025'!G:G,"&lt;="&amp;A6,'2025'!H:H,"&gt;="&amp;A6))
*('2025'!G$2:G$1000&lt;=A6)
*('2025'!H$2:H$1000&gt;=A6)),
ROW('2025'!A$2:A$1000)
),
"Review"
),
"")</f>
        <v/>
      </c>
    </row>
    <row r="7" spans="1:7" x14ac:dyDescent="0.3">
      <c r="A7" s="16">
        <f t="shared" si="2"/>
        <v>46028</v>
      </c>
      <c r="B7">
        <f>COUNTIFS('2025'!G:G,"&lt;="&amp;A7,'2025'!H:H,"&gt;="&amp;A7)</f>
        <v>2</v>
      </c>
      <c r="C7">
        <f t="shared" si="0"/>
        <v>4</v>
      </c>
      <c r="D7" t="str">
        <f t="shared" si="1"/>
        <v>AVAILABLE</v>
      </c>
      <c r="E7" s="17" t="str" cm="1">
        <f t="array" ref="E7">IF(D7="OVERBOOKED",
HYPERLINK("#'2025'!A"&amp;
LOOKUP(2,1/(('2025'!A$2:A$1000=
_xlfn.MAXIFS('2025'!A:A,'2025'!G:G,"&lt;="&amp;A7,'2025'!H:H,"&gt;="&amp;A7))
*('2025'!G$2:G$1000&lt;=A7)
*('2025'!H$2:H$1000&gt;=A7)),
ROW('2025'!A$2:A$1000)
),
"Review"
),
"")</f>
        <v/>
      </c>
    </row>
    <row r="8" spans="1:7" x14ac:dyDescent="0.3">
      <c r="A8" s="16">
        <f t="shared" si="2"/>
        <v>46029</v>
      </c>
      <c r="B8">
        <f>COUNTIFS('2025'!G:G,"&lt;="&amp;A8,'2025'!H:H,"&gt;="&amp;A8)</f>
        <v>5</v>
      </c>
      <c r="C8">
        <f t="shared" si="0"/>
        <v>1</v>
      </c>
      <c r="D8" t="str">
        <f t="shared" si="1"/>
        <v>AVAILABLE</v>
      </c>
      <c r="E8" s="17" t="str" cm="1">
        <f t="array" ref="E8">IF(D8="OVERBOOKED",
HYPERLINK("#'2025'!A"&amp;
LOOKUP(2,1/(('2025'!A$2:A$1000=
_xlfn.MAXIFS('2025'!A:A,'2025'!G:G,"&lt;="&amp;A8,'2025'!H:H,"&gt;="&amp;A8))
*('2025'!G$2:G$1000&lt;=A8)
*('2025'!H$2:H$1000&gt;=A8)),
ROW('2025'!A$2:A$1000)
),
"Review"
),
"")</f>
        <v/>
      </c>
    </row>
    <row r="9" spans="1:7" x14ac:dyDescent="0.3">
      <c r="A9" s="16">
        <f t="shared" si="2"/>
        <v>46030</v>
      </c>
      <c r="B9">
        <f>COUNTIFS('2025'!G:G,"&lt;="&amp;A9,'2025'!H:H,"&gt;="&amp;A9)</f>
        <v>4</v>
      </c>
      <c r="C9">
        <f t="shared" si="0"/>
        <v>2</v>
      </c>
      <c r="D9" t="str">
        <f t="shared" si="1"/>
        <v>AVAILABLE</v>
      </c>
      <c r="E9" s="17" t="str" cm="1">
        <f t="array" ref="E9">IF(D9="OVERBOOKED",
HYPERLINK("#'2025'!A"&amp;
LOOKUP(2,1/(('2025'!A$2:A$1000=
_xlfn.MAXIFS('2025'!A:A,'2025'!G:G,"&lt;="&amp;A9,'2025'!H:H,"&gt;="&amp;A9))
*('2025'!G$2:G$1000&lt;=A9)
*('2025'!H$2:H$1000&gt;=A9)),
ROW('2025'!A$2:A$1000)
),
"Review"
),
"")</f>
        <v/>
      </c>
    </row>
    <row r="10" spans="1:7" x14ac:dyDescent="0.3">
      <c r="A10" s="16">
        <f t="shared" si="2"/>
        <v>46031</v>
      </c>
      <c r="B10">
        <f>COUNTIFS('2025'!G:G,"&lt;="&amp;A10,'2025'!H:H,"&gt;="&amp;A10)</f>
        <v>4</v>
      </c>
      <c r="C10">
        <f t="shared" si="0"/>
        <v>2</v>
      </c>
      <c r="D10" t="str">
        <f t="shared" si="1"/>
        <v>AVAILABLE</v>
      </c>
      <c r="E10" s="17" t="str" cm="1">
        <f t="array" ref="E10">IF(D10="OVERBOOKED",
HYPERLINK("#'2025'!A"&amp;
LOOKUP(2,1/(('2025'!A$2:A$1000=
_xlfn.MAXIFS('2025'!A:A,'2025'!G:G,"&lt;="&amp;A10,'2025'!H:H,"&gt;="&amp;A10))
*('2025'!G$2:G$1000&lt;=A10)
*('2025'!H$2:H$1000&gt;=A10)),
ROW('2025'!A$2:A$1000)
),
"Review"
),
"")</f>
        <v/>
      </c>
    </row>
    <row r="11" spans="1:7" x14ac:dyDescent="0.3">
      <c r="A11" s="16">
        <f t="shared" si="2"/>
        <v>46032</v>
      </c>
      <c r="B11">
        <f>COUNTIFS('2025'!G:G,"&lt;="&amp;A11,'2025'!H:H,"&gt;="&amp;A11)</f>
        <v>6</v>
      </c>
      <c r="C11">
        <f t="shared" si="0"/>
        <v>0</v>
      </c>
      <c r="D11" t="str">
        <f t="shared" si="1"/>
        <v>FULL</v>
      </c>
      <c r="E11" s="17" t="str" cm="1">
        <f t="array" ref="E11">IF(D11="OVERBOOKED",
HYPERLINK("#'2025'!A"&amp;
LOOKUP(2,1/(('2025'!A$2:A$1000=
_xlfn.MAXIFS('2025'!A:A,'2025'!G:G,"&lt;="&amp;A11,'2025'!H:H,"&gt;="&amp;A11))
*('2025'!G$2:G$1000&lt;=A11)
*('2025'!H$2:H$1000&gt;=A11)),
ROW('2025'!A$2:A$1000)
),
"Review"
),
"")</f>
        <v/>
      </c>
    </row>
    <row r="12" spans="1:7" x14ac:dyDescent="0.3">
      <c r="A12" s="16">
        <f t="shared" si="2"/>
        <v>46033</v>
      </c>
      <c r="B12">
        <f>COUNTIFS('2025'!G:G,"&lt;="&amp;A12,'2025'!H:H,"&gt;="&amp;A12)</f>
        <v>4</v>
      </c>
      <c r="C12">
        <f t="shared" si="0"/>
        <v>2</v>
      </c>
      <c r="D12" t="str">
        <f t="shared" si="1"/>
        <v>AVAILABLE</v>
      </c>
      <c r="E12" s="17" t="str" cm="1">
        <f t="array" ref="E12">IF(D12="OVERBOOKED",
HYPERLINK("#'2025'!A"&amp;
LOOKUP(2,1/(('2025'!A$2:A$1000=
_xlfn.MAXIFS('2025'!A:A,'2025'!G:G,"&lt;="&amp;A12,'2025'!H:H,"&gt;="&amp;A12))
*('2025'!G$2:G$1000&lt;=A12)
*('2025'!H$2:H$1000&gt;=A12)),
ROW('2025'!A$2:A$1000)
),
"Review"
),
"")</f>
        <v/>
      </c>
    </row>
    <row r="13" spans="1:7" x14ac:dyDescent="0.3">
      <c r="A13" s="16">
        <f t="shared" si="2"/>
        <v>46034</v>
      </c>
      <c r="B13">
        <f>COUNTIFS('2025'!G:G,"&lt;="&amp;A13,'2025'!H:H,"&gt;="&amp;A13)</f>
        <v>3</v>
      </c>
      <c r="C13">
        <f t="shared" si="0"/>
        <v>3</v>
      </c>
      <c r="D13" t="str">
        <f t="shared" si="1"/>
        <v>AVAILABLE</v>
      </c>
    </row>
    <row r="14" spans="1:7" x14ac:dyDescent="0.3">
      <c r="A14" s="16">
        <f t="shared" si="2"/>
        <v>46035</v>
      </c>
      <c r="B14">
        <f>COUNTIFS('2025'!G:G,"&lt;="&amp;A14,'2025'!H:H,"&gt;="&amp;A14)</f>
        <v>2</v>
      </c>
      <c r="C14">
        <f t="shared" si="0"/>
        <v>4</v>
      </c>
      <c r="D14" t="str">
        <f t="shared" si="1"/>
        <v>AVAILABLE</v>
      </c>
    </row>
    <row r="15" spans="1:7" x14ac:dyDescent="0.3">
      <c r="A15" s="16">
        <f t="shared" si="2"/>
        <v>46036</v>
      </c>
      <c r="B15">
        <f>COUNTIFS('2025'!G:G,"&lt;="&amp;A15,'2025'!H:H,"&gt;="&amp;A15)</f>
        <v>3</v>
      </c>
      <c r="C15">
        <f t="shared" si="0"/>
        <v>3</v>
      </c>
      <c r="D15" t="str">
        <f t="shared" si="1"/>
        <v>AVAILABLE</v>
      </c>
    </row>
    <row r="16" spans="1:7" x14ac:dyDescent="0.3">
      <c r="A16" s="16">
        <f t="shared" si="2"/>
        <v>46037</v>
      </c>
      <c r="B16">
        <f>COUNTIFS('2025'!G:G,"&lt;="&amp;A16,'2025'!H:H,"&gt;="&amp;A16)</f>
        <v>2</v>
      </c>
      <c r="C16">
        <f t="shared" si="0"/>
        <v>4</v>
      </c>
      <c r="D16" t="str">
        <f t="shared" si="1"/>
        <v>AVAILABLE</v>
      </c>
    </row>
    <row r="17" spans="1:4" x14ac:dyDescent="0.3">
      <c r="A17" s="16">
        <f t="shared" si="2"/>
        <v>46038</v>
      </c>
      <c r="B17">
        <f>COUNTIFS('2025'!G:G,"&lt;="&amp;A17,'2025'!H:H,"&gt;="&amp;A17)</f>
        <v>4</v>
      </c>
      <c r="C17">
        <f t="shared" si="0"/>
        <v>2</v>
      </c>
      <c r="D17" t="str">
        <f t="shared" si="1"/>
        <v>AVAILABLE</v>
      </c>
    </row>
    <row r="18" spans="1:4" x14ac:dyDescent="0.3">
      <c r="A18" s="16">
        <f t="shared" si="2"/>
        <v>46039</v>
      </c>
      <c r="B18">
        <f>COUNTIFS('2025'!G:G,"&lt;="&amp;A18,'2025'!H:H,"&gt;="&amp;A18)</f>
        <v>4</v>
      </c>
      <c r="C18">
        <f t="shared" si="0"/>
        <v>2</v>
      </c>
      <c r="D18" t="str">
        <f t="shared" si="1"/>
        <v>AVAILABLE</v>
      </c>
    </row>
    <row r="19" spans="1:4" x14ac:dyDescent="0.3">
      <c r="A19" s="16">
        <f t="shared" si="2"/>
        <v>46040</v>
      </c>
      <c r="B19">
        <f>COUNTIFS('2025'!G:G,"&lt;="&amp;A19,'2025'!H:H,"&gt;="&amp;A19)</f>
        <v>3</v>
      </c>
      <c r="C19">
        <f t="shared" si="0"/>
        <v>3</v>
      </c>
      <c r="D19" t="str">
        <f t="shared" si="1"/>
        <v>AVAILABLE</v>
      </c>
    </row>
    <row r="20" spans="1:4" x14ac:dyDescent="0.3">
      <c r="A20" s="16">
        <f t="shared" si="2"/>
        <v>46041</v>
      </c>
      <c r="B20">
        <f>COUNTIFS('2025'!G:G,"&lt;="&amp;A20,'2025'!H:H,"&gt;="&amp;A20)</f>
        <v>2</v>
      </c>
      <c r="C20">
        <f t="shared" si="0"/>
        <v>4</v>
      </c>
      <c r="D20" t="str">
        <f t="shared" si="1"/>
        <v>AVAILABLE</v>
      </c>
    </row>
    <row r="21" spans="1:4" x14ac:dyDescent="0.3">
      <c r="A21" s="16">
        <f t="shared" si="2"/>
        <v>46042</v>
      </c>
      <c r="B21">
        <f>COUNTIFS('2025'!G:G,"&lt;="&amp;A21,'2025'!H:H,"&gt;="&amp;A21)</f>
        <v>2</v>
      </c>
      <c r="C21">
        <f t="shared" si="0"/>
        <v>4</v>
      </c>
      <c r="D21" t="str">
        <f t="shared" si="1"/>
        <v>AVAILABLE</v>
      </c>
    </row>
    <row r="22" spans="1:4" x14ac:dyDescent="0.3">
      <c r="A22" s="16">
        <f t="shared" si="2"/>
        <v>46043</v>
      </c>
      <c r="B22">
        <f>COUNTIFS('2025'!G:G,"&lt;="&amp;A22,'2025'!H:H,"&gt;="&amp;A22)</f>
        <v>1</v>
      </c>
      <c r="C22">
        <f t="shared" si="0"/>
        <v>5</v>
      </c>
      <c r="D22" t="str">
        <f t="shared" si="1"/>
        <v>AVAILABLE</v>
      </c>
    </row>
    <row r="23" spans="1:4" x14ac:dyDescent="0.3">
      <c r="A23" s="16">
        <f t="shared" si="2"/>
        <v>46044</v>
      </c>
      <c r="B23">
        <f>COUNTIFS('2025'!G:G,"&lt;="&amp;A23,'2025'!H:H,"&gt;="&amp;A23)</f>
        <v>3</v>
      </c>
      <c r="C23">
        <f t="shared" si="0"/>
        <v>3</v>
      </c>
      <c r="D23" t="str">
        <f t="shared" si="1"/>
        <v>AVAILABLE</v>
      </c>
    </row>
    <row r="24" spans="1:4" x14ac:dyDescent="0.3">
      <c r="A24" s="16">
        <f t="shared" si="2"/>
        <v>46045</v>
      </c>
      <c r="B24">
        <f>COUNTIFS('2025'!G:G,"&lt;="&amp;A24,'2025'!H:H,"&gt;="&amp;A24)</f>
        <v>2</v>
      </c>
      <c r="C24">
        <f t="shared" si="0"/>
        <v>4</v>
      </c>
      <c r="D24" t="str">
        <f t="shared" si="1"/>
        <v>AVAILABLE</v>
      </c>
    </row>
    <row r="25" spans="1:4" x14ac:dyDescent="0.3">
      <c r="A25" s="16">
        <f t="shared" si="2"/>
        <v>46046</v>
      </c>
      <c r="B25">
        <f>COUNTIFS('2025'!G:G,"&lt;="&amp;A25,'2025'!H:H,"&gt;="&amp;A25)</f>
        <v>2</v>
      </c>
      <c r="C25">
        <f t="shared" si="0"/>
        <v>4</v>
      </c>
      <c r="D25" t="str">
        <f t="shared" si="1"/>
        <v>AVAILABLE</v>
      </c>
    </row>
    <row r="26" spans="1:4" x14ac:dyDescent="0.3">
      <c r="A26" s="16">
        <f t="shared" si="2"/>
        <v>46047</v>
      </c>
      <c r="B26">
        <f>COUNTIFS('2025'!G:G,"&lt;="&amp;A26,'2025'!H:H,"&gt;="&amp;A26)</f>
        <v>2</v>
      </c>
      <c r="C26">
        <f t="shared" si="0"/>
        <v>4</v>
      </c>
      <c r="D26" t="str">
        <f t="shared" si="1"/>
        <v>AVAILABLE</v>
      </c>
    </row>
    <row r="27" spans="1:4" x14ac:dyDescent="0.3">
      <c r="A27" s="16">
        <f t="shared" si="2"/>
        <v>46048</v>
      </c>
      <c r="B27">
        <f>COUNTIFS('2025'!G:G,"&lt;="&amp;A27,'2025'!H:H,"&gt;="&amp;A27)</f>
        <v>2</v>
      </c>
      <c r="C27">
        <f t="shared" si="0"/>
        <v>4</v>
      </c>
      <c r="D27" t="str">
        <f t="shared" si="1"/>
        <v>AVAILABLE</v>
      </c>
    </row>
    <row r="28" spans="1:4" x14ac:dyDescent="0.3">
      <c r="A28" s="16">
        <f t="shared" si="2"/>
        <v>46049</v>
      </c>
      <c r="B28">
        <f>COUNTIFS('2025'!G:G,"&lt;="&amp;A28,'2025'!H:H,"&gt;="&amp;A28)</f>
        <v>2</v>
      </c>
      <c r="C28">
        <f t="shared" si="0"/>
        <v>4</v>
      </c>
      <c r="D28" t="str">
        <f t="shared" si="1"/>
        <v>AVAILABLE</v>
      </c>
    </row>
    <row r="29" spans="1:4" x14ac:dyDescent="0.3">
      <c r="A29" s="16">
        <f t="shared" si="2"/>
        <v>46050</v>
      </c>
      <c r="B29">
        <f>COUNTIFS('2025'!G:G,"&lt;="&amp;A29,'2025'!H:H,"&gt;="&amp;A29)</f>
        <v>2</v>
      </c>
      <c r="C29">
        <f t="shared" si="0"/>
        <v>4</v>
      </c>
      <c r="D29" t="str">
        <f t="shared" si="1"/>
        <v>AVAILABLE</v>
      </c>
    </row>
    <row r="30" spans="1:4" x14ac:dyDescent="0.3">
      <c r="A30" s="16">
        <f t="shared" si="2"/>
        <v>46051</v>
      </c>
      <c r="B30">
        <f>COUNTIFS('2025'!G:G,"&lt;="&amp;A30,'2025'!H:H,"&gt;="&amp;A30)</f>
        <v>2</v>
      </c>
      <c r="C30">
        <f t="shared" si="0"/>
        <v>4</v>
      </c>
      <c r="D30" t="str">
        <f t="shared" si="1"/>
        <v>AVAILABLE</v>
      </c>
    </row>
    <row r="31" spans="1:4" x14ac:dyDescent="0.3">
      <c r="A31" s="16">
        <f t="shared" si="2"/>
        <v>46052</v>
      </c>
      <c r="B31">
        <f>COUNTIFS('2025'!G:G,"&lt;="&amp;A31,'2025'!H:H,"&gt;="&amp;A31)</f>
        <v>1</v>
      </c>
      <c r="C31">
        <f t="shared" si="0"/>
        <v>5</v>
      </c>
      <c r="D31" t="str">
        <f t="shared" si="1"/>
        <v>AVAILABLE</v>
      </c>
    </row>
    <row r="32" spans="1:4" x14ac:dyDescent="0.3">
      <c r="A32" s="16">
        <f t="shared" si="2"/>
        <v>46053</v>
      </c>
      <c r="B32">
        <f>COUNTIFS('2025'!G:G,"&lt;="&amp;A32,'2025'!H:H,"&gt;="&amp;A32)</f>
        <v>1</v>
      </c>
      <c r="C32">
        <f t="shared" si="0"/>
        <v>5</v>
      </c>
      <c r="D32" t="str">
        <f t="shared" si="1"/>
        <v>AVAILABLE</v>
      </c>
    </row>
    <row r="33" spans="1:4" x14ac:dyDescent="0.3">
      <c r="A33" s="16">
        <f t="shared" si="2"/>
        <v>46054</v>
      </c>
      <c r="B33">
        <f>COUNTIFS('2025'!G:G,"&lt;="&amp;A33,'2025'!H:H,"&gt;="&amp;A33)</f>
        <v>1</v>
      </c>
      <c r="C33">
        <f t="shared" si="0"/>
        <v>5</v>
      </c>
      <c r="D33" t="str">
        <f t="shared" si="1"/>
        <v>AVAILABLE</v>
      </c>
    </row>
    <row r="34" spans="1:4" x14ac:dyDescent="0.3">
      <c r="A34" s="16">
        <f t="shared" si="2"/>
        <v>46055</v>
      </c>
      <c r="B34">
        <f>COUNTIFS('2025'!G:G,"&lt;="&amp;A34,'2025'!H:H,"&gt;="&amp;A34)</f>
        <v>0</v>
      </c>
      <c r="C34">
        <f t="shared" si="0"/>
        <v>6</v>
      </c>
      <c r="D34" t="str">
        <f t="shared" si="1"/>
        <v>AVAILABLE</v>
      </c>
    </row>
    <row r="35" spans="1:4" x14ac:dyDescent="0.3">
      <c r="A35" s="16">
        <f t="shared" si="2"/>
        <v>46056</v>
      </c>
      <c r="B35">
        <f>COUNTIFS('2025'!G:G,"&lt;="&amp;A35,'2025'!H:H,"&gt;="&amp;A35)</f>
        <v>0</v>
      </c>
      <c r="C35">
        <f t="shared" si="0"/>
        <v>6</v>
      </c>
      <c r="D35" t="str">
        <f t="shared" si="1"/>
        <v>AVAILABLE</v>
      </c>
    </row>
    <row r="36" spans="1:4" x14ac:dyDescent="0.3">
      <c r="A36" s="16">
        <f t="shared" si="2"/>
        <v>46057</v>
      </c>
      <c r="B36">
        <f>COUNTIFS('2025'!G:G,"&lt;="&amp;A36,'2025'!H:H,"&gt;="&amp;A36)</f>
        <v>0</v>
      </c>
      <c r="C36">
        <f t="shared" si="0"/>
        <v>6</v>
      </c>
      <c r="D36" t="str">
        <f t="shared" si="1"/>
        <v>AVAILABLE</v>
      </c>
    </row>
    <row r="37" spans="1:4" x14ac:dyDescent="0.3">
      <c r="A37" s="16">
        <f t="shared" si="2"/>
        <v>46058</v>
      </c>
      <c r="B37">
        <f>COUNTIFS('2025'!G:G,"&lt;="&amp;A37,'2025'!H:H,"&gt;="&amp;A37)</f>
        <v>0</v>
      </c>
      <c r="C37">
        <f t="shared" si="0"/>
        <v>6</v>
      </c>
      <c r="D37" t="str">
        <f t="shared" si="1"/>
        <v>AVAILABLE</v>
      </c>
    </row>
    <row r="38" spans="1:4" x14ac:dyDescent="0.3">
      <c r="A38" s="16">
        <f t="shared" si="2"/>
        <v>46059</v>
      </c>
      <c r="B38">
        <f>COUNTIFS('2025'!G:G,"&lt;="&amp;A38,'2025'!H:H,"&gt;="&amp;A38)</f>
        <v>2</v>
      </c>
      <c r="C38">
        <f t="shared" si="0"/>
        <v>4</v>
      </c>
      <c r="D38" t="str">
        <f t="shared" si="1"/>
        <v>AVAILABLE</v>
      </c>
    </row>
    <row r="39" spans="1:4" x14ac:dyDescent="0.3">
      <c r="A39" s="16">
        <f t="shared" si="2"/>
        <v>46060</v>
      </c>
      <c r="B39">
        <f>COUNTIFS('2025'!G:G,"&lt;="&amp;A39,'2025'!H:H,"&gt;="&amp;A39)</f>
        <v>2</v>
      </c>
      <c r="C39">
        <f t="shared" si="0"/>
        <v>4</v>
      </c>
      <c r="D39" t="str">
        <f t="shared" si="1"/>
        <v>AVAILABLE</v>
      </c>
    </row>
    <row r="40" spans="1:4" x14ac:dyDescent="0.3">
      <c r="A40" s="16">
        <f t="shared" si="2"/>
        <v>46061</v>
      </c>
      <c r="B40">
        <f>COUNTIFS('2025'!G:G,"&lt;="&amp;A40,'2025'!H:H,"&gt;="&amp;A40)</f>
        <v>2</v>
      </c>
      <c r="C40">
        <f t="shared" si="0"/>
        <v>4</v>
      </c>
      <c r="D40" t="str">
        <f t="shared" si="1"/>
        <v>AVAILABLE</v>
      </c>
    </row>
    <row r="41" spans="1:4" x14ac:dyDescent="0.3">
      <c r="A41" s="16">
        <f t="shared" si="2"/>
        <v>46062</v>
      </c>
      <c r="B41">
        <f>COUNTIFS('2025'!G:G,"&lt;="&amp;A41,'2025'!H:H,"&gt;="&amp;A41)</f>
        <v>2</v>
      </c>
      <c r="C41">
        <f t="shared" si="0"/>
        <v>4</v>
      </c>
      <c r="D41" t="str">
        <f t="shared" si="1"/>
        <v>AVAILABLE</v>
      </c>
    </row>
    <row r="42" spans="1:4" x14ac:dyDescent="0.3">
      <c r="A42" s="16">
        <f t="shared" si="2"/>
        <v>46063</v>
      </c>
      <c r="B42">
        <f>COUNTIFS('2025'!G:G,"&lt;="&amp;A42,'2025'!H:H,"&gt;="&amp;A42)</f>
        <v>2</v>
      </c>
      <c r="C42">
        <f t="shared" si="0"/>
        <v>4</v>
      </c>
      <c r="D42" t="str">
        <f t="shared" si="1"/>
        <v>AVAILABLE</v>
      </c>
    </row>
    <row r="43" spans="1:4" x14ac:dyDescent="0.3">
      <c r="A43" s="16">
        <f t="shared" si="2"/>
        <v>46064</v>
      </c>
      <c r="B43">
        <f>COUNTIFS('2025'!G:G,"&lt;="&amp;A43,'2025'!H:H,"&gt;="&amp;A43)</f>
        <v>1</v>
      </c>
      <c r="C43">
        <f t="shared" si="0"/>
        <v>5</v>
      </c>
      <c r="D43" t="str">
        <f t="shared" si="1"/>
        <v>AVAILABLE</v>
      </c>
    </row>
    <row r="44" spans="1:4" x14ac:dyDescent="0.3">
      <c r="A44" s="16">
        <f t="shared" si="2"/>
        <v>46065</v>
      </c>
      <c r="B44">
        <f>COUNTIFS('2025'!G:G,"&lt;="&amp;A44,'2025'!H:H,"&gt;="&amp;A44)</f>
        <v>1</v>
      </c>
      <c r="C44">
        <f t="shared" si="0"/>
        <v>5</v>
      </c>
      <c r="D44" t="str">
        <f t="shared" si="1"/>
        <v>AVAILABLE</v>
      </c>
    </row>
    <row r="45" spans="1:4" x14ac:dyDescent="0.3">
      <c r="A45" s="16">
        <f t="shared" si="2"/>
        <v>46066</v>
      </c>
      <c r="B45">
        <f>COUNTIFS('2025'!G:G,"&lt;="&amp;A45,'2025'!H:H,"&gt;="&amp;A45)</f>
        <v>0</v>
      </c>
      <c r="C45">
        <f t="shared" si="0"/>
        <v>6</v>
      </c>
      <c r="D45" t="str">
        <f t="shared" si="1"/>
        <v>AVAILABLE</v>
      </c>
    </row>
    <row r="46" spans="1:4" x14ac:dyDescent="0.3">
      <c r="A46" s="16">
        <f t="shared" si="2"/>
        <v>46067</v>
      </c>
      <c r="B46">
        <f>COUNTIFS('2025'!G:G,"&lt;="&amp;A46,'2025'!H:H,"&gt;="&amp;A46)</f>
        <v>0</v>
      </c>
      <c r="C46">
        <f t="shared" si="0"/>
        <v>6</v>
      </c>
      <c r="D46" t="str">
        <f t="shared" si="1"/>
        <v>AVAILABLE</v>
      </c>
    </row>
    <row r="47" spans="1:4" x14ac:dyDescent="0.3">
      <c r="A47" s="16">
        <f t="shared" si="2"/>
        <v>46068</v>
      </c>
      <c r="B47">
        <f>COUNTIFS('2025'!G:G,"&lt;="&amp;A47,'2025'!H:H,"&gt;="&amp;A47)</f>
        <v>2</v>
      </c>
      <c r="C47">
        <f t="shared" si="0"/>
        <v>4</v>
      </c>
      <c r="D47" t="str">
        <f t="shared" si="1"/>
        <v>AVAILABLE</v>
      </c>
    </row>
    <row r="48" spans="1:4" x14ac:dyDescent="0.3">
      <c r="A48" s="16">
        <f t="shared" si="2"/>
        <v>46069</v>
      </c>
      <c r="B48">
        <f>COUNTIFS('2025'!G:G,"&lt;="&amp;A48,'2025'!H:H,"&gt;="&amp;A48)</f>
        <v>2</v>
      </c>
      <c r="C48">
        <f t="shared" si="0"/>
        <v>4</v>
      </c>
      <c r="D48" t="str">
        <f t="shared" si="1"/>
        <v>AVAILABLE</v>
      </c>
    </row>
    <row r="49" spans="1:4" x14ac:dyDescent="0.3">
      <c r="A49" s="16">
        <f t="shared" si="2"/>
        <v>46070</v>
      </c>
      <c r="B49">
        <f>COUNTIFS('2025'!G:G,"&lt;="&amp;A49,'2025'!H:H,"&gt;="&amp;A49)</f>
        <v>2</v>
      </c>
      <c r="C49">
        <f t="shared" si="0"/>
        <v>4</v>
      </c>
      <c r="D49" t="str">
        <f t="shared" si="1"/>
        <v>AVAILABLE</v>
      </c>
    </row>
    <row r="50" spans="1:4" x14ac:dyDescent="0.3">
      <c r="A50" s="16">
        <f t="shared" si="2"/>
        <v>46071</v>
      </c>
      <c r="B50">
        <f>COUNTIFS('2025'!G:G,"&lt;="&amp;A50,'2025'!H:H,"&gt;="&amp;A50)</f>
        <v>1</v>
      </c>
      <c r="C50">
        <f t="shared" si="0"/>
        <v>5</v>
      </c>
      <c r="D50" t="str">
        <f t="shared" si="1"/>
        <v>AVAILABLE</v>
      </c>
    </row>
    <row r="51" spans="1:4" x14ac:dyDescent="0.3">
      <c r="A51" s="16">
        <f t="shared" si="2"/>
        <v>46072</v>
      </c>
      <c r="B51">
        <f>COUNTIFS('2025'!G:G,"&lt;="&amp;A51,'2025'!H:H,"&gt;="&amp;A51)</f>
        <v>0</v>
      </c>
      <c r="C51">
        <f t="shared" si="0"/>
        <v>6</v>
      </c>
      <c r="D51" t="str">
        <f t="shared" si="1"/>
        <v>AVAILABLE</v>
      </c>
    </row>
    <row r="52" spans="1:4" x14ac:dyDescent="0.3">
      <c r="A52" s="16">
        <f t="shared" si="2"/>
        <v>46073</v>
      </c>
      <c r="B52">
        <f>COUNTIFS('2025'!G:G,"&lt;="&amp;A52,'2025'!H:H,"&gt;="&amp;A52)</f>
        <v>0</v>
      </c>
      <c r="C52">
        <f t="shared" si="0"/>
        <v>6</v>
      </c>
      <c r="D52" t="str">
        <f t="shared" si="1"/>
        <v>AVAILABLE</v>
      </c>
    </row>
    <row r="53" spans="1:4" x14ac:dyDescent="0.3">
      <c r="A53" s="16">
        <f t="shared" si="2"/>
        <v>46074</v>
      </c>
      <c r="B53">
        <f>COUNTIFS('2025'!G:G,"&lt;="&amp;A53,'2025'!H:H,"&gt;="&amp;A53)</f>
        <v>0</v>
      </c>
      <c r="C53">
        <f t="shared" si="0"/>
        <v>6</v>
      </c>
      <c r="D53" t="str">
        <f t="shared" si="1"/>
        <v>AVAILABLE</v>
      </c>
    </row>
    <row r="54" spans="1:4" x14ac:dyDescent="0.3">
      <c r="A54" s="16">
        <f t="shared" si="2"/>
        <v>46075</v>
      </c>
      <c r="B54">
        <f>COUNTIFS('2025'!G:G,"&lt;="&amp;A54,'2025'!H:H,"&gt;="&amp;A54)</f>
        <v>0</v>
      </c>
      <c r="C54">
        <f t="shared" si="0"/>
        <v>6</v>
      </c>
      <c r="D54" t="str">
        <f t="shared" si="1"/>
        <v>AVAILABLE</v>
      </c>
    </row>
    <row r="55" spans="1:4" x14ac:dyDescent="0.3">
      <c r="A55" s="16">
        <f t="shared" si="2"/>
        <v>46076</v>
      </c>
      <c r="B55">
        <f>COUNTIFS('2025'!G:G,"&lt;="&amp;A55,'2025'!H:H,"&gt;="&amp;A55)</f>
        <v>0</v>
      </c>
      <c r="C55">
        <f t="shared" si="0"/>
        <v>6</v>
      </c>
      <c r="D55" t="str">
        <f t="shared" si="1"/>
        <v>AVAILABLE</v>
      </c>
    </row>
    <row r="56" spans="1:4" x14ac:dyDescent="0.3">
      <c r="A56" s="16">
        <f t="shared" si="2"/>
        <v>46077</v>
      </c>
      <c r="B56">
        <f>COUNTIFS('2025'!G:G,"&lt;="&amp;A56,'2025'!H:H,"&gt;="&amp;A56)</f>
        <v>1</v>
      </c>
      <c r="C56">
        <f t="shared" si="0"/>
        <v>5</v>
      </c>
      <c r="D56" t="str">
        <f t="shared" si="1"/>
        <v>AVAILABLE</v>
      </c>
    </row>
    <row r="57" spans="1:4" x14ac:dyDescent="0.3">
      <c r="A57" s="16">
        <f t="shared" si="2"/>
        <v>46078</v>
      </c>
      <c r="B57">
        <f>COUNTIFS('2025'!G:G,"&lt;="&amp;A57,'2025'!H:H,"&gt;="&amp;A57)</f>
        <v>1</v>
      </c>
      <c r="C57">
        <f t="shared" si="0"/>
        <v>5</v>
      </c>
      <c r="D57" t="str">
        <f t="shared" si="1"/>
        <v>AVAILABLE</v>
      </c>
    </row>
    <row r="58" spans="1:4" x14ac:dyDescent="0.3">
      <c r="A58" s="16">
        <f t="shared" si="2"/>
        <v>46079</v>
      </c>
      <c r="B58">
        <f>COUNTIFS('2025'!G:G,"&lt;="&amp;A58,'2025'!H:H,"&gt;="&amp;A58)</f>
        <v>2</v>
      </c>
      <c r="C58">
        <f t="shared" si="0"/>
        <v>4</v>
      </c>
      <c r="D58" t="str">
        <f t="shared" si="1"/>
        <v>AVAILABLE</v>
      </c>
    </row>
    <row r="59" spans="1:4" x14ac:dyDescent="0.3">
      <c r="A59" s="16">
        <f t="shared" si="2"/>
        <v>46080</v>
      </c>
      <c r="B59">
        <f>COUNTIFS('2025'!G:G,"&lt;="&amp;A59,'2025'!H:H,"&gt;="&amp;A59)</f>
        <v>2</v>
      </c>
      <c r="C59">
        <f t="shared" si="0"/>
        <v>4</v>
      </c>
      <c r="D59" t="str">
        <f t="shared" si="1"/>
        <v>AVAILABLE</v>
      </c>
    </row>
    <row r="60" spans="1:4" x14ac:dyDescent="0.3">
      <c r="A60" s="16">
        <f t="shared" si="2"/>
        <v>46081</v>
      </c>
      <c r="B60">
        <f>COUNTIFS('2025'!G:G,"&lt;="&amp;A60,'2025'!H:H,"&gt;="&amp;A60)</f>
        <v>2</v>
      </c>
      <c r="C60">
        <f t="shared" si="0"/>
        <v>4</v>
      </c>
      <c r="D60" t="str">
        <f t="shared" si="1"/>
        <v>AVAILABLE</v>
      </c>
    </row>
    <row r="61" spans="1:4" x14ac:dyDescent="0.3">
      <c r="A61" s="16">
        <f t="shared" si="2"/>
        <v>46082</v>
      </c>
      <c r="B61">
        <f>COUNTIFS('2025'!G:G,"&lt;="&amp;A61,'2025'!H:H,"&gt;="&amp;A61)</f>
        <v>2</v>
      </c>
      <c r="C61">
        <f t="shared" si="0"/>
        <v>4</v>
      </c>
      <c r="D61" t="str">
        <f t="shared" si="1"/>
        <v>AVAILABLE</v>
      </c>
    </row>
    <row r="62" spans="1:4" x14ac:dyDescent="0.3">
      <c r="A62" s="16">
        <f t="shared" si="2"/>
        <v>46083</v>
      </c>
      <c r="B62">
        <f>COUNTIFS('2025'!G:G,"&lt;="&amp;A62,'2025'!H:H,"&gt;="&amp;A62)</f>
        <v>2</v>
      </c>
      <c r="C62">
        <f t="shared" si="0"/>
        <v>4</v>
      </c>
      <c r="D62" t="str">
        <f t="shared" si="1"/>
        <v>AVAILABLE</v>
      </c>
    </row>
    <row r="63" spans="1:4" x14ac:dyDescent="0.3">
      <c r="A63" s="16">
        <f t="shared" si="2"/>
        <v>46084</v>
      </c>
      <c r="B63">
        <f>COUNTIFS('2025'!G:G,"&lt;="&amp;A63,'2025'!H:H,"&gt;="&amp;A63)</f>
        <v>1</v>
      </c>
      <c r="C63">
        <f t="shared" si="0"/>
        <v>5</v>
      </c>
      <c r="D63" t="str">
        <f t="shared" si="1"/>
        <v>AVAILABLE</v>
      </c>
    </row>
    <row r="64" spans="1:4" x14ac:dyDescent="0.3">
      <c r="A64" s="16">
        <f t="shared" si="2"/>
        <v>46085</v>
      </c>
      <c r="B64">
        <f>COUNTIFS('2025'!G:G,"&lt;="&amp;A64,'2025'!H:H,"&gt;="&amp;A64)</f>
        <v>1</v>
      </c>
      <c r="C64">
        <f t="shared" si="0"/>
        <v>5</v>
      </c>
      <c r="D64" t="str">
        <f t="shared" si="1"/>
        <v>AVAILABLE</v>
      </c>
    </row>
    <row r="65" spans="1:4" x14ac:dyDescent="0.3">
      <c r="A65" s="16">
        <f t="shared" si="2"/>
        <v>46086</v>
      </c>
      <c r="B65">
        <f>COUNTIFS('2025'!G:G,"&lt;="&amp;A65,'2025'!H:H,"&gt;="&amp;A65)</f>
        <v>1</v>
      </c>
      <c r="C65">
        <f t="shared" si="0"/>
        <v>5</v>
      </c>
      <c r="D65" t="str">
        <f t="shared" si="1"/>
        <v>AVAILABLE</v>
      </c>
    </row>
    <row r="66" spans="1:4" x14ac:dyDescent="0.3">
      <c r="A66" s="16">
        <f t="shared" si="2"/>
        <v>46087</v>
      </c>
      <c r="B66">
        <f>COUNTIFS('2025'!G:G,"&lt;="&amp;A66,'2025'!H:H,"&gt;="&amp;A66)</f>
        <v>1</v>
      </c>
      <c r="C66">
        <f t="shared" si="0"/>
        <v>5</v>
      </c>
      <c r="D66" t="str">
        <f t="shared" si="1"/>
        <v>AVAILABLE</v>
      </c>
    </row>
    <row r="67" spans="1:4" x14ac:dyDescent="0.3">
      <c r="A67" s="16">
        <f t="shared" si="2"/>
        <v>46088</v>
      </c>
      <c r="B67">
        <f>COUNTIFS('2025'!G:G,"&lt;="&amp;A67,'2025'!H:H,"&gt;="&amp;A67)</f>
        <v>2</v>
      </c>
      <c r="C67">
        <f t="shared" ref="C67:C130" si="3">$G$1-B67</f>
        <v>4</v>
      </c>
      <c r="D67" t="str">
        <f t="shared" ref="D67:D130" si="4">IF(C67&lt;0,"OVERBOOKED",IF(C67=0,"FULL","AVAILABLE"))</f>
        <v>AVAILABLE</v>
      </c>
    </row>
    <row r="68" spans="1:4" x14ac:dyDescent="0.3">
      <c r="A68" s="16">
        <f t="shared" ref="A68:A131" si="5">A67+1</f>
        <v>46089</v>
      </c>
      <c r="B68">
        <f>COUNTIFS('2025'!G:G,"&lt;="&amp;A68,'2025'!H:H,"&gt;="&amp;A68)</f>
        <v>2</v>
      </c>
      <c r="C68">
        <f t="shared" si="3"/>
        <v>4</v>
      </c>
      <c r="D68" t="str">
        <f t="shared" si="4"/>
        <v>AVAILABLE</v>
      </c>
    </row>
    <row r="69" spans="1:4" x14ac:dyDescent="0.3">
      <c r="A69" s="16">
        <f t="shared" si="5"/>
        <v>46090</v>
      </c>
      <c r="B69">
        <f>COUNTIFS('2025'!G:G,"&lt;="&amp;A69,'2025'!H:H,"&gt;="&amp;A69)</f>
        <v>2</v>
      </c>
      <c r="C69">
        <f t="shared" si="3"/>
        <v>4</v>
      </c>
      <c r="D69" t="str">
        <f t="shared" si="4"/>
        <v>AVAILABLE</v>
      </c>
    </row>
    <row r="70" spans="1:4" x14ac:dyDescent="0.3">
      <c r="A70" s="16">
        <f t="shared" si="5"/>
        <v>46091</v>
      </c>
      <c r="B70">
        <f>COUNTIFS('2025'!G:G,"&lt;="&amp;A70,'2025'!H:H,"&gt;="&amp;A70)</f>
        <v>2</v>
      </c>
      <c r="C70">
        <f t="shared" si="3"/>
        <v>4</v>
      </c>
      <c r="D70" t="str">
        <f t="shared" si="4"/>
        <v>AVAILABLE</v>
      </c>
    </row>
    <row r="71" spans="1:4" x14ac:dyDescent="0.3">
      <c r="A71" s="16">
        <f t="shared" si="5"/>
        <v>46092</v>
      </c>
      <c r="B71">
        <f>COUNTIFS('2025'!G:G,"&lt;="&amp;A71,'2025'!H:H,"&gt;="&amp;A71)</f>
        <v>2</v>
      </c>
      <c r="C71">
        <f t="shared" si="3"/>
        <v>4</v>
      </c>
      <c r="D71" t="str">
        <f t="shared" si="4"/>
        <v>AVAILABLE</v>
      </c>
    </row>
    <row r="72" spans="1:4" x14ac:dyDescent="0.3">
      <c r="A72" s="16">
        <f t="shared" si="5"/>
        <v>46093</v>
      </c>
      <c r="B72">
        <f>COUNTIFS('2025'!G:G,"&lt;="&amp;A72,'2025'!H:H,"&gt;="&amp;A72)</f>
        <v>1</v>
      </c>
      <c r="C72">
        <f t="shared" si="3"/>
        <v>5</v>
      </c>
      <c r="D72" t="str">
        <f t="shared" si="4"/>
        <v>AVAILABLE</v>
      </c>
    </row>
    <row r="73" spans="1:4" x14ac:dyDescent="0.3">
      <c r="A73" s="16">
        <f t="shared" si="5"/>
        <v>46094</v>
      </c>
      <c r="B73">
        <f>COUNTIFS('2025'!G:G,"&lt;="&amp;A73,'2025'!H:H,"&gt;="&amp;A73)</f>
        <v>2</v>
      </c>
      <c r="C73">
        <f t="shared" si="3"/>
        <v>4</v>
      </c>
      <c r="D73" t="str">
        <f t="shared" si="4"/>
        <v>AVAILABLE</v>
      </c>
    </row>
    <row r="74" spans="1:4" x14ac:dyDescent="0.3">
      <c r="A74" s="16">
        <f t="shared" si="5"/>
        <v>46095</v>
      </c>
      <c r="B74">
        <f>COUNTIFS('2025'!G:G,"&lt;="&amp;A74,'2025'!H:H,"&gt;="&amp;A74)</f>
        <v>2</v>
      </c>
      <c r="C74">
        <f t="shared" si="3"/>
        <v>4</v>
      </c>
      <c r="D74" t="str">
        <f t="shared" si="4"/>
        <v>AVAILABLE</v>
      </c>
    </row>
    <row r="75" spans="1:4" x14ac:dyDescent="0.3">
      <c r="A75" s="16">
        <f t="shared" si="5"/>
        <v>46096</v>
      </c>
      <c r="B75">
        <f>COUNTIFS('2025'!G:G,"&lt;="&amp;A75,'2025'!H:H,"&gt;="&amp;A75)</f>
        <v>2</v>
      </c>
      <c r="C75">
        <f t="shared" si="3"/>
        <v>4</v>
      </c>
      <c r="D75" t="str">
        <f t="shared" si="4"/>
        <v>AVAILABLE</v>
      </c>
    </row>
    <row r="76" spans="1:4" x14ac:dyDescent="0.3">
      <c r="A76" s="16">
        <f t="shared" si="5"/>
        <v>46097</v>
      </c>
      <c r="B76">
        <f>COUNTIFS('2025'!G:G,"&lt;="&amp;A76,'2025'!H:H,"&gt;="&amp;A76)</f>
        <v>2</v>
      </c>
      <c r="C76">
        <f t="shared" si="3"/>
        <v>4</v>
      </c>
      <c r="D76" t="str">
        <f t="shared" si="4"/>
        <v>AVAILABLE</v>
      </c>
    </row>
    <row r="77" spans="1:4" x14ac:dyDescent="0.3">
      <c r="A77" s="16">
        <f t="shared" si="5"/>
        <v>46098</v>
      </c>
      <c r="B77">
        <f>COUNTIFS('2025'!G:G,"&lt;="&amp;A77,'2025'!H:H,"&gt;="&amp;A77)</f>
        <v>2</v>
      </c>
      <c r="C77">
        <f t="shared" si="3"/>
        <v>4</v>
      </c>
      <c r="D77" t="str">
        <f t="shared" si="4"/>
        <v>AVAILABLE</v>
      </c>
    </row>
    <row r="78" spans="1:4" x14ac:dyDescent="0.3">
      <c r="A78" s="16">
        <f t="shared" si="5"/>
        <v>46099</v>
      </c>
      <c r="B78">
        <f>COUNTIFS('2025'!G:G,"&lt;="&amp;A78,'2025'!H:H,"&gt;="&amp;A78)</f>
        <v>1</v>
      </c>
      <c r="C78">
        <f t="shared" si="3"/>
        <v>5</v>
      </c>
      <c r="D78" t="str">
        <f t="shared" si="4"/>
        <v>AVAILABLE</v>
      </c>
    </row>
    <row r="79" spans="1:4" x14ac:dyDescent="0.3">
      <c r="A79" s="16">
        <f t="shared" si="5"/>
        <v>46100</v>
      </c>
      <c r="B79">
        <f>COUNTIFS('2025'!G:G,"&lt;="&amp;A79,'2025'!H:H,"&gt;="&amp;A79)</f>
        <v>1</v>
      </c>
      <c r="C79">
        <f t="shared" si="3"/>
        <v>5</v>
      </c>
      <c r="D79" t="str">
        <f t="shared" si="4"/>
        <v>AVAILABLE</v>
      </c>
    </row>
    <row r="80" spans="1:4" x14ac:dyDescent="0.3">
      <c r="A80" s="16">
        <f t="shared" si="5"/>
        <v>46101</v>
      </c>
      <c r="B80">
        <f>COUNTIFS('2025'!G:G,"&lt;="&amp;A80,'2025'!H:H,"&gt;="&amp;A80)</f>
        <v>1</v>
      </c>
      <c r="C80">
        <f t="shared" si="3"/>
        <v>5</v>
      </c>
      <c r="D80" t="str">
        <f t="shared" si="4"/>
        <v>AVAILABLE</v>
      </c>
    </row>
    <row r="81" spans="1:4" x14ac:dyDescent="0.3">
      <c r="A81" s="16">
        <f t="shared" si="5"/>
        <v>46102</v>
      </c>
      <c r="B81">
        <f>COUNTIFS('2025'!G:G,"&lt;="&amp;A81,'2025'!H:H,"&gt;="&amp;A81)</f>
        <v>0</v>
      </c>
      <c r="C81">
        <f t="shared" si="3"/>
        <v>6</v>
      </c>
      <c r="D81" t="str">
        <f t="shared" si="4"/>
        <v>AVAILABLE</v>
      </c>
    </row>
    <row r="82" spans="1:4" x14ac:dyDescent="0.3">
      <c r="A82" s="16">
        <f t="shared" si="5"/>
        <v>46103</v>
      </c>
      <c r="B82">
        <f>COUNTIFS('2025'!G:G,"&lt;="&amp;A82,'2025'!H:H,"&gt;="&amp;A82)</f>
        <v>0</v>
      </c>
      <c r="C82">
        <f t="shared" si="3"/>
        <v>6</v>
      </c>
      <c r="D82" t="str">
        <f t="shared" si="4"/>
        <v>AVAILABLE</v>
      </c>
    </row>
    <row r="83" spans="1:4" x14ac:dyDescent="0.3">
      <c r="A83" s="16">
        <f t="shared" si="5"/>
        <v>46104</v>
      </c>
      <c r="B83">
        <f>COUNTIFS('2025'!G:G,"&lt;="&amp;A83,'2025'!H:H,"&gt;="&amp;A83)</f>
        <v>0</v>
      </c>
      <c r="C83">
        <f t="shared" si="3"/>
        <v>6</v>
      </c>
      <c r="D83" t="str">
        <f t="shared" si="4"/>
        <v>AVAILABLE</v>
      </c>
    </row>
    <row r="84" spans="1:4" x14ac:dyDescent="0.3">
      <c r="A84" s="16">
        <f t="shared" si="5"/>
        <v>46105</v>
      </c>
      <c r="B84">
        <f>COUNTIFS('2025'!G:G,"&lt;="&amp;A84,'2025'!H:H,"&gt;="&amp;A84)</f>
        <v>0</v>
      </c>
      <c r="C84">
        <f t="shared" si="3"/>
        <v>6</v>
      </c>
      <c r="D84" t="str">
        <f t="shared" si="4"/>
        <v>AVAILABLE</v>
      </c>
    </row>
    <row r="85" spans="1:4" x14ac:dyDescent="0.3">
      <c r="A85" s="16">
        <f t="shared" si="5"/>
        <v>46106</v>
      </c>
      <c r="B85">
        <f>COUNTIFS('2025'!G:G,"&lt;="&amp;A85,'2025'!H:H,"&gt;="&amp;A85)</f>
        <v>0</v>
      </c>
      <c r="C85">
        <f t="shared" si="3"/>
        <v>6</v>
      </c>
      <c r="D85" t="str">
        <f t="shared" si="4"/>
        <v>AVAILABLE</v>
      </c>
    </row>
    <row r="86" spans="1:4" x14ac:dyDescent="0.3">
      <c r="A86" s="16">
        <f t="shared" si="5"/>
        <v>46107</v>
      </c>
      <c r="B86">
        <f>COUNTIFS('2025'!G:G,"&lt;="&amp;A86,'2025'!H:H,"&gt;="&amp;A86)</f>
        <v>0</v>
      </c>
      <c r="C86">
        <f t="shared" si="3"/>
        <v>6</v>
      </c>
      <c r="D86" t="str">
        <f t="shared" si="4"/>
        <v>AVAILABLE</v>
      </c>
    </row>
    <row r="87" spans="1:4" x14ac:dyDescent="0.3">
      <c r="A87" s="16">
        <f t="shared" si="5"/>
        <v>46108</v>
      </c>
      <c r="B87">
        <f>COUNTIFS('2025'!G:G,"&lt;="&amp;A87,'2025'!H:H,"&gt;="&amp;A87)</f>
        <v>0</v>
      </c>
      <c r="C87">
        <f t="shared" si="3"/>
        <v>6</v>
      </c>
      <c r="D87" t="str">
        <f t="shared" si="4"/>
        <v>AVAILABLE</v>
      </c>
    </row>
    <row r="88" spans="1:4" x14ac:dyDescent="0.3">
      <c r="A88" s="16">
        <f t="shared" si="5"/>
        <v>46109</v>
      </c>
      <c r="B88">
        <f>COUNTIFS('2025'!G:G,"&lt;="&amp;A88,'2025'!H:H,"&gt;="&amp;A88)</f>
        <v>0</v>
      </c>
      <c r="C88">
        <f t="shared" si="3"/>
        <v>6</v>
      </c>
      <c r="D88" t="str">
        <f t="shared" si="4"/>
        <v>AVAILABLE</v>
      </c>
    </row>
    <row r="89" spans="1:4" x14ac:dyDescent="0.3">
      <c r="A89" s="16">
        <f t="shared" si="5"/>
        <v>46110</v>
      </c>
      <c r="B89">
        <f>COUNTIFS('2025'!G:G,"&lt;="&amp;A89,'2025'!H:H,"&gt;="&amp;A89)</f>
        <v>0</v>
      </c>
      <c r="C89">
        <f t="shared" si="3"/>
        <v>6</v>
      </c>
      <c r="D89" t="str">
        <f t="shared" si="4"/>
        <v>AVAILABLE</v>
      </c>
    </row>
    <row r="90" spans="1:4" x14ac:dyDescent="0.3">
      <c r="A90" s="16">
        <f t="shared" si="5"/>
        <v>46111</v>
      </c>
      <c r="B90">
        <f>COUNTIFS('2025'!G:G,"&lt;="&amp;A90,'2025'!H:H,"&gt;="&amp;A90)</f>
        <v>0</v>
      </c>
      <c r="C90">
        <f t="shared" si="3"/>
        <v>6</v>
      </c>
      <c r="D90" t="str">
        <f t="shared" si="4"/>
        <v>AVAILABLE</v>
      </c>
    </row>
    <row r="91" spans="1:4" x14ac:dyDescent="0.3">
      <c r="A91" s="16">
        <f t="shared" si="5"/>
        <v>46112</v>
      </c>
      <c r="B91">
        <f>COUNTIFS('2025'!G:G,"&lt;="&amp;A91,'2025'!H:H,"&gt;="&amp;A91)</f>
        <v>0</v>
      </c>
      <c r="C91">
        <f t="shared" si="3"/>
        <v>6</v>
      </c>
      <c r="D91" t="str">
        <f t="shared" si="4"/>
        <v>AVAILABLE</v>
      </c>
    </row>
    <row r="92" spans="1:4" x14ac:dyDescent="0.3">
      <c r="A92" s="16">
        <f t="shared" si="5"/>
        <v>46113</v>
      </c>
      <c r="B92">
        <f>COUNTIFS('2025'!G:G,"&lt;="&amp;A92,'2025'!H:H,"&gt;="&amp;A92)</f>
        <v>0</v>
      </c>
      <c r="C92">
        <f t="shared" si="3"/>
        <v>6</v>
      </c>
      <c r="D92" t="str">
        <f t="shared" si="4"/>
        <v>AVAILABLE</v>
      </c>
    </row>
    <row r="93" spans="1:4" x14ac:dyDescent="0.3">
      <c r="A93" s="16">
        <f t="shared" si="5"/>
        <v>46114</v>
      </c>
      <c r="B93">
        <f>COUNTIFS('2025'!G:G,"&lt;="&amp;A93,'2025'!H:H,"&gt;="&amp;A93)</f>
        <v>1</v>
      </c>
      <c r="C93">
        <f t="shared" si="3"/>
        <v>5</v>
      </c>
      <c r="D93" t="str">
        <f t="shared" si="4"/>
        <v>AVAILABLE</v>
      </c>
    </row>
    <row r="94" spans="1:4" x14ac:dyDescent="0.3">
      <c r="A94" s="16">
        <f t="shared" si="5"/>
        <v>46115</v>
      </c>
      <c r="B94">
        <f>COUNTIFS('2025'!G:G,"&lt;="&amp;A94,'2025'!H:H,"&gt;="&amp;A94)</f>
        <v>1</v>
      </c>
      <c r="C94">
        <f t="shared" si="3"/>
        <v>5</v>
      </c>
      <c r="D94" t="str">
        <f t="shared" si="4"/>
        <v>AVAILABLE</v>
      </c>
    </row>
    <row r="95" spans="1:4" x14ac:dyDescent="0.3">
      <c r="A95" s="16">
        <f t="shared" si="5"/>
        <v>46116</v>
      </c>
      <c r="B95">
        <f>COUNTIFS('2025'!G:G,"&lt;="&amp;A95,'2025'!H:H,"&gt;="&amp;A95)</f>
        <v>1</v>
      </c>
      <c r="C95">
        <f t="shared" si="3"/>
        <v>5</v>
      </c>
      <c r="D95" t="str">
        <f t="shared" si="4"/>
        <v>AVAILABLE</v>
      </c>
    </row>
    <row r="96" spans="1:4" x14ac:dyDescent="0.3">
      <c r="A96" s="16">
        <f t="shared" si="5"/>
        <v>46117</v>
      </c>
      <c r="B96">
        <f>COUNTIFS('2025'!G:G,"&lt;="&amp;A96,'2025'!H:H,"&gt;="&amp;A96)</f>
        <v>1</v>
      </c>
      <c r="C96">
        <f t="shared" si="3"/>
        <v>5</v>
      </c>
      <c r="D96" t="str">
        <f t="shared" si="4"/>
        <v>AVAILABLE</v>
      </c>
    </row>
    <row r="97" spans="1:4" x14ac:dyDescent="0.3">
      <c r="A97" s="16">
        <f t="shared" si="5"/>
        <v>46118</v>
      </c>
      <c r="B97">
        <f>COUNTIFS('2025'!G:G,"&lt;="&amp;A97,'2025'!H:H,"&gt;="&amp;A97)</f>
        <v>1</v>
      </c>
      <c r="C97">
        <f t="shared" si="3"/>
        <v>5</v>
      </c>
      <c r="D97" t="str">
        <f t="shared" si="4"/>
        <v>AVAILABLE</v>
      </c>
    </row>
    <row r="98" spans="1:4" x14ac:dyDescent="0.3">
      <c r="A98" s="16">
        <f t="shared" si="5"/>
        <v>46119</v>
      </c>
      <c r="B98">
        <f>COUNTIFS('2025'!G:G,"&lt;="&amp;A98,'2025'!H:H,"&gt;="&amp;A98)</f>
        <v>1</v>
      </c>
      <c r="C98">
        <f t="shared" si="3"/>
        <v>5</v>
      </c>
      <c r="D98" t="str">
        <f t="shared" si="4"/>
        <v>AVAILABLE</v>
      </c>
    </row>
    <row r="99" spans="1:4" x14ac:dyDescent="0.3">
      <c r="A99" s="16">
        <f t="shared" si="5"/>
        <v>46120</v>
      </c>
      <c r="B99">
        <f>COUNTIFS('2025'!G:G,"&lt;="&amp;A99,'2025'!H:H,"&gt;="&amp;A99)</f>
        <v>1</v>
      </c>
      <c r="C99">
        <f t="shared" si="3"/>
        <v>5</v>
      </c>
      <c r="D99" t="str">
        <f t="shared" si="4"/>
        <v>AVAILABLE</v>
      </c>
    </row>
    <row r="100" spans="1:4" x14ac:dyDescent="0.3">
      <c r="A100" s="16">
        <f t="shared" si="5"/>
        <v>46121</v>
      </c>
      <c r="B100">
        <f>COUNTIFS('2025'!G:G,"&lt;="&amp;A100,'2025'!H:H,"&gt;="&amp;A100)</f>
        <v>1</v>
      </c>
      <c r="C100">
        <f t="shared" si="3"/>
        <v>5</v>
      </c>
      <c r="D100" t="str">
        <f t="shared" si="4"/>
        <v>AVAILABLE</v>
      </c>
    </row>
    <row r="101" spans="1:4" x14ac:dyDescent="0.3">
      <c r="A101" s="16">
        <f t="shared" si="5"/>
        <v>46122</v>
      </c>
      <c r="B101">
        <f>COUNTIFS('2025'!G:G,"&lt;="&amp;A101,'2025'!H:H,"&gt;="&amp;A101)</f>
        <v>1</v>
      </c>
      <c r="C101">
        <f t="shared" si="3"/>
        <v>5</v>
      </c>
      <c r="D101" t="str">
        <f t="shared" si="4"/>
        <v>AVAILABLE</v>
      </c>
    </row>
    <row r="102" spans="1:4" x14ac:dyDescent="0.3">
      <c r="A102" s="16">
        <f t="shared" si="5"/>
        <v>46123</v>
      </c>
      <c r="B102">
        <f>COUNTIFS('2025'!G:G,"&lt;="&amp;A102,'2025'!H:H,"&gt;="&amp;A102)</f>
        <v>2</v>
      </c>
      <c r="C102">
        <f t="shared" si="3"/>
        <v>4</v>
      </c>
      <c r="D102" t="str">
        <f t="shared" si="4"/>
        <v>AVAILABLE</v>
      </c>
    </row>
    <row r="103" spans="1:4" x14ac:dyDescent="0.3">
      <c r="A103" s="16">
        <f t="shared" si="5"/>
        <v>46124</v>
      </c>
      <c r="B103">
        <f>COUNTIFS('2025'!G:G,"&lt;="&amp;A103,'2025'!H:H,"&gt;="&amp;A103)</f>
        <v>2</v>
      </c>
      <c r="C103">
        <f t="shared" si="3"/>
        <v>4</v>
      </c>
      <c r="D103" t="str">
        <f t="shared" si="4"/>
        <v>AVAILABLE</v>
      </c>
    </row>
    <row r="104" spans="1:4" x14ac:dyDescent="0.3">
      <c r="A104" s="16">
        <f t="shared" si="5"/>
        <v>46125</v>
      </c>
      <c r="B104">
        <f>COUNTIFS('2025'!G:G,"&lt;="&amp;A104,'2025'!H:H,"&gt;="&amp;A104)</f>
        <v>2</v>
      </c>
      <c r="C104">
        <f t="shared" si="3"/>
        <v>4</v>
      </c>
      <c r="D104" t="str">
        <f t="shared" si="4"/>
        <v>AVAILABLE</v>
      </c>
    </row>
    <row r="105" spans="1:4" x14ac:dyDescent="0.3">
      <c r="A105" s="16">
        <f t="shared" si="5"/>
        <v>46126</v>
      </c>
      <c r="B105">
        <f>COUNTIFS('2025'!G:G,"&lt;="&amp;A105,'2025'!H:H,"&gt;="&amp;A105)</f>
        <v>2</v>
      </c>
      <c r="C105">
        <f t="shared" si="3"/>
        <v>4</v>
      </c>
      <c r="D105" t="str">
        <f t="shared" si="4"/>
        <v>AVAILABLE</v>
      </c>
    </row>
    <row r="106" spans="1:4" x14ac:dyDescent="0.3">
      <c r="A106" s="16">
        <f t="shared" si="5"/>
        <v>46127</v>
      </c>
      <c r="B106">
        <f>COUNTIFS('2025'!G:G,"&lt;="&amp;A106,'2025'!H:H,"&gt;="&amp;A106)</f>
        <v>2</v>
      </c>
      <c r="C106">
        <f t="shared" si="3"/>
        <v>4</v>
      </c>
      <c r="D106" t="str">
        <f t="shared" si="4"/>
        <v>AVAILABLE</v>
      </c>
    </row>
    <row r="107" spans="1:4" x14ac:dyDescent="0.3">
      <c r="A107" s="16">
        <f t="shared" si="5"/>
        <v>46128</v>
      </c>
      <c r="B107">
        <f>COUNTIFS('2025'!G:G,"&lt;="&amp;A107,'2025'!H:H,"&gt;="&amp;A107)</f>
        <v>2</v>
      </c>
      <c r="C107">
        <f t="shared" si="3"/>
        <v>4</v>
      </c>
      <c r="D107" t="str">
        <f t="shared" si="4"/>
        <v>AVAILABLE</v>
      </c>
    </row>
    <row r="108" spans="1:4" x14ac:dyDescent="0.3">
      <c r="A108" s="16">
        <f t="shared" si="5"/>
        <v>46129</v>
      </c>
      <c r="B108">
        <f>COUNTIFS('2025'!G:G,"&lt;="&amp;A108,'2025'!H:H,"&gt;="&amp;A108)</f>
        <v>2</v>
      </c>
      <c r="C108">
        <f t="shared" si="3"/>
        <v>4</v>
      </c>
      <c r="D108" t="str">
        <f t="shared" si="4"/>
        <v>AVAILABLE</v>
      </c>
    </row>
    <row r="109" spans="1:4" x14ac:dyDescent="0.3">
      <c r="A109" s="16">
        <f t="shared" si="5"/>
        <v>46130</v>
      </c>
      <c r="B109">
        <f>COUNTIFS('2025'!G:G,"&lt;="&amp;A109,'2025'!H:H,"&gt;="&amp;A109)</f>
        <v>2</v>
      </c>
      <c r="C109">
        <f t="shared" si="3"/>
        <v>4</v>
      </c>
      <c r="D109" t="str">
        <f t="shared" si="4"/>
        <v>AVAILABLE</v>
      </c>
    </row>
    <row r="110" spans="1:4" x14ac:dyDescent="0.3">
      <c r="A110" s="16">
        <f t="shared" si="5"/>
        <v>46131</v>
      </c>
      <c r="B110">
        <f>COUNTIFS('2025'!G:G,"&lt;="&amp;A110,'2025'!H:H,"&gt;="&amp;A110)</f>
        <v>2</v>
      </c>
      <c r="C110">
        <f t="shared" si="3"/>
        <v>4</v>
      </c>
      <c r="D110" t="str">
        <f t="shared" si="4"/>
        <v>AVAILABLE</v>
      </c>
    </row>
    <row r="111" spans="1:4" x14ac:dyDescent="0.3">
      <c r="A111" s="16">
        <f t="shared" si="5"/>
        <v>46132</v>
      </c>
      <c r="B111">
        <f>COUNTIFS('2025'!G:G,"&lt;="&amp;A111,'2025'!H:H,"&gt;="&amp;A111)</f>
        <v>2</v>
      </c>
      <c r="C111">
        <f t="shared" si="3"/>
        <v>4</v>
      </c>
      <c r="D111" t="str">
        <f t="shared" si="4"/>
        <v>AVAILABLE</v>
      </c>
    </row>
    <row r="112" spans="1:4" x14ac:dyDescent="0.3">
      <c r="A112" s="16">
        <f t="shared" si="5"/>
        <v>46133</v>
      </c>
      <c r="B112">
        <f>COUNTIFS('2025'!G:G,"&lt;="&amp;A112,'2025'!H:H,"&gt;="&amp;A112)</f>
        <v>2</v>
      </c>
      <c r="C112">
        <f t="shared" si="3"/>
        <v>4</v>
      </c>
      <c r="D112" t="str">
        <f t="shared" si="4"/>
        <v>AVAILABLE</v>
      </c>
    </row>
    <row r="113" spans="1:4" x14ac:dyDescent="0.3">
      <c r="A113" s="16">
        <f t="shared" si="5"/>
        <v>46134</v>
      </c>
      <c r="B113">
        <f>COUNTIFS('2025'!G:G,"&lt;="&amp;A113,'2025'!H:H,"&gt;="&amp;A113)</f>
        <v>2</v>
      </c>
      <c r="C113">
        <f t="shared" si="3"/>
        <v>4</v>
      </c>
      <c r="D113" t="str">
        <f t="shared" si="4"/>
        <v>AVAILABLE</v>
      </c>
    </row>
    <row r="114" spans="1:4" x14ac:dyDescent="0.3">
      <c r="A114" s="16">
        <f t="shared" si="5"/>
        <v>46135</v>
      </c>
      <c r="B114">
        <f>COUNTIFS('2025'!G:G,"&lt;="&amp;A114,'2025'!H:H,"&gt;="&amp;A114)</f>
        <v>2</v>
      </c>
      <c r="C114">
        <f t="shared" si="3"/>
        <v>4</v>
      </c>
      <c r="D114" t="str">
        <f t="shared" si="4"/>
        <v>AVAILABLE</v>
      </c>
    </row>
    <row r="115" spans="1:4" x14ac:dyDescent="0.3">
      <c r="A115" s="16">
        <f t="shared" si="5"/>
        <v>46136</v>
      </c>
      <c r="B115">
        <f>COUNTIFS('2025'!G:G,"&lt;="&amp;A115,'2025'!H:H,"&gt;="&amp;A115)</f>
        <v>0</v>
      </c>
      <c r="C115">
        <f t="shared" si="3"/>
        <v>6</v>
      </c>
      <c r="D115" t="str">
        <f t="shared" si="4"/>
        <v>AVAILABLE</v>
      </c>
    </row>
    <row r="116" spans="1:4" x14ac:dyDescent="0.3">
      <c r="A116" s="16">
        <f t="shared" si="5"/>
        <v>46137</v>
      </c>
      <c r="B116">
        <f>COUNTIFS('2025'!G:G,"&lt;="&amp;A116,'2025'!H:H,"&gt;="&amp;A116)</f>
        <v>0</v>
      </c>
      <c r="C116">
        <f t="shared" si="3"/>
        <v>6</v>
      </c>
      <c r="D116" t="str">
        <f t="shared" si="4"/>
        <v>AVAILABLE</v>
      </c>
    </row>
    <row r="117" spans="1:4" x14ac:dyDescent="0.3">
      <c r="A117" s="16">
        <f t="shared" si="5"/>
        <v>46138</v>
      </c>
      <c r="B117">
        <f>COUNTIFS('2025'!G:G,"&lt;="&amp;A117,'2025'!H:H,"&gt;="&amp;A117)</f>
        <v>0</v>
      </c>
      <c r="C117">
        <f t="shared" si="3"/>
        <v>6</v>
      </c>
      <c r="D117" t="str">
        <f t="shared" si="4"/>
        <v>AVAILABLE</v>
      </c>
    </row>
    <row r="118" spans="1:4" x14ac:dyDescent="0.3">
      <c r="A118" s="16">
        <f t="shared" si="5"/>
        <v>46139</v>
      </c>
      <c r="B118">
        <f>COUNTIFS('2025'!G:G,"&lt;="&amp;A118,'2025'!H:H,"&gt;="&amp;A118)</f>
        <v>0</v>
      </c>
      <c r="C118">
        <f t="shared" si="3"/>
        <v>6</v>
      </c>
      <c r="D118" t="str">
        <f t="shared" si="4"/>
        <v>AVAILABLE</v>
      </c>
    </row>
    <row r="119" spans="1:4" x14ac:dyDescent="0.3">
      <c r="A119" s="16">
        <f t="shared" si="5"/>
        <v>46140</v>
      </c>
      <c r="B119">
        <f>COUNTIFS('2025'!G:G,"&lt;="&amp;A119,'2025'!H:H,"&gt;="&amp;A119)</f>
        <v>1</v>
      </c>
      <c r="C119">
        <f t="shared" si="3"/>
        <v>5</v>
      </c>
      <c r="D119" t="str">
        <f t="shared" si="4"/>
        <v>AVAILABLE</v>
      </c>
    </row>
    <row r="120" spans="1:4" x14ac:dyDescent="0.3">
      <c r="A120" s="16">
        <f t="shared" si="5"/>
        <v>46141</v>
      </c>
      <c r="B120">
        <f>COUNTIFS('2025'!G:G,"&lt;="&amp;A120,'2025'!H:H,"&gt;="&amp;A120)</f>
        <v>1</v>
      </c>
      <c r="C120">
        <f t="shared" si="3"/>
        <v>5</v>
      </c>
      <c r="D120" t="str">
        <f t="shared" si="4"/>
        <v>AVAILABLE</v>
      </c>
    </row>
    <row r="121" spans="1:4" x14ac:dyDescent="0.3">
      <c r="A121" s="16">
        <f t="shared" si="5"/>
        <v>46142</v>
      </c>
      <c r="B121">
        <f>COUNTIFS('2025'!G:G,"&lt;="&amp;A121,'2025'!H:H,"&gt;="&amp;A121)</f>
        <v>1</v>
      </c>
      <c r="C121">
        <f t="shared" si="3"/>
        <v>5</v>
      </c>
      <c r="D121" t="str">
        <f t="shared" si="4"/>
        <v>AVAILABLE</v>
      </c>
    </row>
    <row r="122" spans="1:4" x14ac:dyDescent="0.3">
      <c r="A122" s="16">
        <f t="shared" si="5"/>
        <v>46143</v>
      </c>
      <c r="B122">
        <f>COUNTIFS('2025'!G:G,"&lt;="&amp;A122,'2025'!H:H,"&gt;="&amp;A122)</f>
        <v>2</v>
      </c>
      <c r="C122">
        <f t="shared" si="3"/>
        <v>4</v>
      </c>
      <c r="D122" t="str">
        <f t="shared" si="4"/>
        <v>AVAILABLE</v>
      </c>
    </row>
    <row r="123" spans="1:4" x14ac:dyDescent="0.3">
      <c r="A123" s="16">
        <f t="shared" si="5"/>
        <v>46144</v>
      </c>
      <c r="B123">
        <f>COUNTIFS('2025'!G:G,"&lt;="&amp;A123,'2025'!H:H,"&gt;="&amp;A123)</f>
        <v>2</v>
      </c>
      <c r="C123">
        <f t="shared" si="3"/>
        <v>4</v>
      </c>
      <c r="D123" t="str">
        <f t="shared" si="4"/>
        <v>AVAILABLE</v>
      </c>
    </row>
    <row r="124" spans="1:4" x14ac:dyDescent="0.3">
      <c r="A124" s="16">
        <f t="shared" si="5"/>
        <v>46145</v>
      </c>
      <c r="B124">
        <f>COUNTIFS('2025'!G:G,"&lt;="&amp;A124,'2025'!H:H,"&gt;="&amp;A124)</f>
        <v>2</v>
      </c>
      <c r="C124">
        <f t="shared" si="3"/>
        <v>4</v>
      </c>
      <c r="D124" t="str">
        <f t="shared" si="4"/>
        <v>AVAILABLE</v>
      </c>
    </row>
    <row r="125" spans="1:4" x14ac:dyDescent="0.3">
      <c r="A125" s="16">
        <f t="shared" si="5"/>
        <v>46146</v>
      </c>
      <c r="B125">
        <f>COUNTIFS('2025'!G:G,"&lt;="&amp;A125,'2025'!H:H,"&gt;="&amp;A125)</f>
        <v>1</v>
      </c>
      <c r="C125">
        <f t="shared" si="3"/>
        <v>5</v>
      </c>
      <c r="D125" t="str">
        <f t="shared" si="4"/>
        <v>AVAILABLE</v>
      </c>
    </row>
    <row r="126" spans="1:4" x14ac:dyDescent="0.3">
      <c r="A126" s="16">
        <f t="shared" si="5"/>
        <v>46147</v>
      </c>
      <c r="B126">
        <f>COUNTIFS('2025'!G:G,"&lt;="&amp;A126,'2025'!H:H,"&gt;="&amp;A126)</f>
        <v>1</v>
      </c>
      <c r="C126">
        <f t="shared" si="3"/>
        <v>5</v>
      </c>
      <c r="D126" t="str">
        <f t="shared" si="4"/>
        <v>AVAILABLE</v>
      </c>
    </row>
    <row r="127" spans="1:4" x14ac:dyDescent="0.3">
      <c r="A127" s="16">
        <f t="shared" si="5"/>
        <v>46148</v>
      </c>
      <c r="B127">
        <f>COUNTIFS('2025'!G:G,"&lt;="&amp;A127,'2025'!H:H,"&gt;="&amp;A127)</f>
        <v>1</v>
      </c>
      <c r="C127">
        <f t="shared" si="3"/>
        <v>5</v>
      </c>
      <c r="D127" t="str">
        <f t="shared" si="4"/>
        <v>AVAILABLE</v>
      </c>
    </row>
    <row r="128" spans="1:4" x14ac:dyDescent="0.3">
      <c r="A128" s="16">
        <f t="shared" si="5"/>
        <v>46149</v>
      </c>
      <c r="B128">
        <f>COUNTIFS('2025'!G:G,"&lt;="&amp;A128,'2025'!H:H,"&gt;="&amp;A128)</f>
        <v>1</v>
      </c>
      <c r="C128">
        <f t="shared" si="3"/>
        <v>5</v>
      </c>
      <c r="D128" t="str">
        <f t="shared" si="4"/>
        <v>AVAILABLE</v>
      </c>
    </row>
    <row r="129" spans="1:4" x14ac:dyDescent="0.3">
      <c r="A129" s="16">
        <f t="shared" si="5"/>
        <v>46150</v>
      </c>
      <c r="B129">
        <f>COUNTIFS('2025'!G:G,"&lt;="&amp;A129,'2025'!H:H,"&gt;="&amp;A129)</f>
        <v>1</v>
      </c>
      <c r="C129">
        <f t="shared" si="3"/>
        <v>5</v>
      </c>
      <c r="D129" t="str">
        <f t="shared" si="4"/>
        <v>AVAILABLE</v>
      </c>
    </row>
    <row r="130" spans="1:4" x14ac:dyDescent="0.3">
      <c r="A130" s="16">
        <f t="shared" si="5"/>
        <v>46151</v>
      </c>
      <c r="B130">
        <f>COUNTIFS('2025'!G:G,"&lt;="&amp;A130,'2025'!H:H,"&gt;="&amp;A130)</f>
        <v>1</v>
      </c>
      <c r="C130">
        <f t="shared" si="3"/>
        <v>5</v>
      </c>
      <c r="D130" t="str">
        <f t="shared" si="4"/>
        <v>AVAILABLE</v>
      </c>
    </row>
    <row r="131" spans="1:4" x14ac:dyDescent="0.3">
      <c r="A131" s="16">
        <f t="shared" si="5"/>
        <v>46152</v>
      </c>
      <c r="B131">
        <f>COUNTIFS('2025'!G:G,"&lt;="&amp;A131,'2025'!H:H,"&gt;="&amp;A131)</f>
        <v>1</v>
      </c>
      <c r="C131">
        <f t="shared" ref="C131:C194" si="6">$G$1-B131</f>
        <v>5</v>
      </c>
      <c r="D131" t="str">
        <f t="shared" ref="D131:D194" si="7">IF(C131&lt;0,"OVERBOOKED",IF(C131=0,"FULL","AVAILABLE"))</f>
        <v>AVAILABLE</v>
      </c>
    </row>
    <row r="132" spans="1:4" x14ac:dyDescent="0.3">
      <c r="A132" s="16">
        <f t="shared" ref="A132:A195" si="8">A131+1</f>
        <v>46153</v>
      </c>
      <c r="B132">
        <f>COUNTIFS('2025'!G:G,"&lt;="&amp;A132,'2025'!H:H,"&gt;="&amp;A132)</f>
        <v>1</v>
      </c>
      <c r="C132">
        <f t="shared" si="6"/>
        <v>5</v>
      </c>
      <c r="D132" t="str">
        <f t="shared" si="7"/>
        <v>AVAILABLE</v>
      </c>
    </row>
    <row r="133" spans="1:4" x14ac:dyDescent="0.3">
      <c r="A133" s="16">
        <f t="shared" si="8"/>
        <v>46154</v>
      </c>
      <c r="B133">
        <f>COUNTIFS('2025'!G:G,"&lt;="&amp;A133,'2025'!H:H,"&gt;="&amp;A133)</f>
        <v>1</v>
      </c>
      <c r="C133">
        <f t="shared" si="6"/>
        <v>5</v>
      </c>
      <c r="D133" t="str">
        <f t="shared" si="7"/>
        <v>AVAILABLE</v>
      </c>
    </row>
    <row r="134" spans="1:4" x14ac:dyDescent="0.3">
      <c r="A134" s="16">
        <f t="shared" si="8"/>
        <v>46155</v>
      </c>
      <c r="B134">
        <f>COUNTIFS('2025'!G:G,"&lt;="&amp;A134,'2025'!H:H,"&gt;="&amp;A134)</f>
        <v>0</v>
      </c>
      <c r="C134">
        <f t="shared" si="6"/>
        <v>6</v>
      </c>
      <c r="D134" t="str">
        <f t="shared" si="7"/>
        <v>AVAILABLE</v>
      </c>
    </row>
    <row r="135" spans="1:4" x14ac:dyDescent="0.3">
      <c r="A135" s="16">
        <f t="shared" si="8"/>
        <v>46156</v>
      </c>
      <c r="B135">
        <f>COUNTIFS('2025'!G:G,"&lt;="&amp;A135,'2025'!H:H,"&gt;="&amp;A135)</f>
        <v>0</v>
      </c>
      <c r="C135">
        <f t="shared" si="6"/>
        <v>6</v>
      </c>
      <c r="D135" t="str">
        <f t="shared" si="7"/>
        <v>AVAILABLE</v>
      </c>
    </row>
    <row r="136" spans="1:4" x14ac:dyDescent="0.3">
      <c r="A136" s="16">
        <f t="shared" si="8"/>
        <v>46157</v>
      </c>
      <c r="B136">
        <f>COUNTIFS('2025'!G:G,"&lt;="&amp;A136,'2025'!H:H,"&gt;="&amp;A136)</f>
        <v>0</v>
      </c>
      <c r="C136">
        <f t="shared" si="6"/>
        <v>6</v>
      </c>
      <c r="D136" t="str">
        <f t="shared" si="7"/>
        <v>AVAILABLE</v>
      </c>
    </row>
    <row r="137" spans="1:4" x14ac:dyDescent="0.3">
      <c r="A137" s="16">
        <f t="shared" si="8"/>
        <v>46158</v>
      </c>
      <c r="B137">
        <f>COUNTIFS('2025'!G:G,"&lt;="&amp;A137,'2025'!H:H,"&gt;="&amp;A137)</f>
        <v>0</v>
      </c>
      <c r="C137">
        <f t="shared" si="6"/>
        <v>6</v>
      </c>
      <c r="D137" t="str">
        <f t="shared" si="7"/>
        <v>AVAILABLE</v>
      </c>
    </row>
    <row r="138" spans="1:4" x14ac:dyDescent="0.3">
      <c r="A138" s="16">
        <f t="shared" si="8"/>
        <v>46159</v>
      </c>
      <c r="B138">
        <f>COUNTIFS('2025'!G:G,"&lt;="&amp;A138,'2025'!H:H,"&gt;="&amp;A138)</f>
        <v>0</v>
      </c>
      <c r="C138">
        <f t="shared" si="6"/>
        <v>6</v>
      </c>
      <c r="D138" t="str">
        <f t="shared" si="7"/>
        <v>AVAILABLE</v>
      </c>
    </row>
    <row r="139" spans="1:4" x14ac:dyDescent="0.3">
      <c r="A139" s="16">
        <f t="shared" si="8"/>
        <v>46160</v>
      </c>
      <c r="B139">
        <f>COUNTIFS('2025'!G:G,"&lt;="&amp;A139,'2025'!H:H,"&gt;="&amp;A139)</f>
        <v>0</v>
      </c>
      <c r="C139">
        <f t="shared" si="6"/>
        <v>6</v>
      </c>
      <c r="D139" t="str">
        <f t="shared" si="7"/>
        <v>AVAILABLE</v>
      </c>
    </row>
    <row r="140" spans="1:4" x14ac:dyDescent="0.3">
      <c r="A140" s="16">
        <f t="shared" si="8"/>
        <v>46161</v>
      </c>
      <c r="B140">
        <f>COUNTIFS('2025'!G:G,"&lt;="&amp;A140,'2025'!H:H,"&gt;="&amp;A140)</f>
        <v>0</v>
      </c>
      <c r="C140">
        <f t="shared" si="6"/>
        <v>6</v>
      </c>
      <c r="D140" t="str">
        <f t="shared" si="7"/>
        <v>AVAILABLE</v>
      </c>
    </row>
    <row r="141" spans="1:4" x14ac:dyDescent="0.3">
      <c r="A141" s="16">
        <f t="shared" si="8"/>
        <v>46162</v>
      </c>
      <c r="B141">
        <f>COUNTIFS('2025'!G:G,"&lt;="&amp;A141,'2025'!H:H,"&gt;="&amp;A141)</f>
        <v>1</v>
      </c>
      <c r="C141">
        <f t="shared" si="6"/>
        <v>5</v>
      </c>
      <c r="D141" t="str">
        <f t="shared" si="7"/>
        <v>AVAILABLE</v>
      </c>
    </row>
    <row r="142" spans="1:4" x14ac:dyDescent="0.3">
      <c r="A142" s="16">
        <f t="shared" si="8"/>
        <v>46163</v>
      </c>
      <c r="B142">
        <f>COUNTIFS('2025'!G:G,"&lt;="&amp;A142,'2025'!H:H,"&gt;="&amp;A142)</f>
        <v>1</v>
      </c>
      <c r="C142">
        <f t="shared" si="6"/>
        <v>5</v>
      </c>
      <c r="D142" t="str">
        <f t="shared" si="7"/>
        <v>AVAILABLE</v>
      </c>
    </row>
    <row r="143" spans="1:4" x14ac:dyDescent="0.3">
      <c r="A143" s="16">
        <f t="shared" si="8"/>
        <v>46164</v>
      </c>
      <c r="B143">
        <f>COUNTIFS('2025'!G:G,"&lt;="&amp;A143,'2025'!H:H,"&gt;="&amp;A143)</f>
        <v>1</v>
      </c>
      <c r="C143">
        <f t="shared" si="6"/>
        <v>5</v>
      </c>
      <c r="D143" t="str">
        <f t="shared" si="7"/>
        <v>AVAILABLE</v>
      </c>
    </row>
    <row r="144" spans="1:4" x14ac:dyDescent="0.3">
      <c r="A144" s="16">
        <f t="shared" si="8"/>
        <v>46165</v>
      </c>
      <c r="B144">
        <f>COUNTIFS('2025'!G:G,"&lt;="&amp;A144,'2025'!H:H,"&gt;="&amp;A144)</f>
        <v>1</v>
      </c>
      <c r="C144">
        <f t="shared" si="6"/>
        <v>5</v>
      </c>
      <c r="D144" t="str">
        <f t="shared" si="7"/>
        <v>AVAILABLE</v>
      </c>
    </row>
    <row r="145" spans="1:4" x14ac:dyDescent="0.3">
      <c r="A145" s="16">
        <f t="shared" si="8"/>
        <v>46166</v>
      </c>
      <c r="B145">
        <f>COUNTIFS('2025'!G:G,"&lt;="&amp;A145,'2025'!H:H,"&gt;="&amp;A145)</f>
        <v>1</v>
      </c>
      <c r="C145">
        <f t="shared" si="6"/>
        <v>5</v>
      </c>
      <c r="D145" t="str">
        <f t="shared" si="7"/>
        <v>AVAILABLE</v>
      </c>
    </row>
    <row r="146" spans="1:4" x14ac:dyDescent="0.3">
      <c r="A146" s="16">
        <f t="shared" si="8"/>
        <v>46167</v>
      </c>
      <c r="B146">
        <f>COUNTIFS('2025'!G:G,"&lt;="&amp;A146,'2025'!H:H,"&gt;="&amp;A146)</f>
        <v>1</v>
      </c>
      <c r="C146">
        <f t="shared" si="6"/>
        <v>5</v>
      </c>
      <c r="D146" t="str">
        <f t="shared" si="7"/>
        <v>AVAILABLE</v>
      </c>
    </row>
    <row r="147" spans="1:4" x14ac:dyDescent="0.3">
      <c r="A147" s="16">
        <f t="shared" si="8"/>
        <v>46168</v>
      </c>
      <c r="B147">
        <f>COUNTIFS('2025'!G:G,"&lt;="&amp;A147,'2025'!H:H,"&gt;="&amp;A147)</f>
        <v>0</v>
      </c>
      <c r="C147">
        <f t="shared" si="6"/>
        <v>6</v>
      </c>
      <c r="D147" t="str">
        <f t="shared" si="7"/>
        <v>AVAILABLE</v>
      </c>
    </row>
    <row r="148" spans="1:4" x14ac:dyDescent="0.3">
      <c r="A148" s="16">
        <f t="shared" si="8"/>
        <v>46169</v>
      </c>
      <c r="B148">
        <f>COUNTIFS('2025'!G:G,"&lt;="&amp;A148,'2025'!H:H,"&gt;="&amp;A148)</f>
        <v>0</v>
      </c>
      <c r="C148">
        <f t="shared" si="6"/>
        <v>6</v>
      </c>
      <c r="D148" t="str">
        <f t="shared" si="7"/>
        <v>AVAILABLE</v>
      </c>
    </row>
    <row r="149" spans="1:4" x14ac:dyDescent="0.3">
      <c r="A149" s="16">
        <f t="shared" si="8"/>
        <v>46170</v>
      </c>
      <c r="B149">
        <f>COUNTIFS('2025'!G:G,"&lt;="&amp;A149,'2025'!H:H,"&gt;="&amp;A149)</f>
        <v>0</v>
      </c>
      <c r="C149">
        <f t="shared" si="6"/>
        <v>6</v>
      </c>
      <c r="D149" t="str">
        <f t="shared" si="7"/>
        <v>AVAILABLE</v>
      </c>
    </row>
    <row r="150" spans="1:4" x14ac:dyDescent="0.3">
      <c r="A150" s="16">
        <f t="shared" si="8"/>
        <v>46171</v>
      </c>
      <c r="B150">
        <f>COUNTIFS('2025'!G:G,"&lt;="&amp;A150,'2025'!H:H,"&gt;="&amp;A150)</f>
        <v>0</v>
      </c>
      <c r="C150">
        <f t="shared" si="6"/>
        <v>6</v>
      </c>
      <c r="D150" t="str">
        <f t="shared" si="7"/>
        <v>AVAILABLE</v>
      </c>
    </row>
    <row r="151" spans="1:4" x14ac:dyDescent="0.3">
      <c r="A151" s="16">
        <f t="shared" si="8"/>
        <v>46172</v>
      </c>
      <c r="B151">
        <f>COUNTIFS('2025'!G:G,"&lt;="&amp;A151,'2025'!H:H,"&gt;="&amp;A151)</f>
        <v>0</v>
      </c>
      <c r="C151">
        <f t="shared" si="6"/>
        <v>6</v>
      </c>
      <c r="D151" t="str">
        <f t="shared" si="7"/>
        <v>AVAILABLE</v>
      </c>
    </row>
    <row r="152" spans="1:4" x14ac:dyDescent="0.3">
      <c r="A152" s="16">
        <f t="shared" si="8"/>
        <v>46173</v>
      </c>
      <c r="B152">
        <f>COUNTIFS('2025'!G:G,"&lt;="&amp;A152,'2025'!H:H,"&gt;="&amp;A152)</f>
        <v>0</v>
      </c>
      <c r="C152">
        <f t="shared" si="6"/>
        <v>6</v>
      </c>
      <c r="D152" t="str">
        <f t="shared" si="7"/>
        <v>AVAILABLE</v>
      </c>
    </row>
    <row r="153" spans="1:4" x14ac:dyDescent="0.3">
      <c r="A153" s="16">
        <f t="shared" si="8"/>
        <v>46174</v>
      </c>
      <c r="B153">
        <f>COUNTIFS('2025'!G:G,"&lt;="&amp;A153,'2025'!H:H,"&gt;="&amp;A153)</f>
        <v>0</v>
      </c>
      <c r="C153">
        <f t="shared" si="6"/>
        <v>6</v>
      </c>
      <c r="D153" t="str">
        <f t="shared" si="7"/>
        <v>AVAILABLE</v>
      </c>
    </row>
    <row r="154" spans="1:4" x14ac:dyDescent="0.3">
      <c r="A154" s="16">
        <f t="shared" si="8"/>
        <v>46175</v>
      </c>
      <c r="B154">
        <f>COUNTIFS('2025'!G:G,"&lt;="&amp;A154,'2025'!H:H,"&gt;="&amp;A154)</f>
        <v>0</v>
      </c>
      <c r="C154">
        <f t="shared" si="6"/>
        <v>6</v>
      </c>
      <c r="D154" t="str">
        <f t="shared" si="7"/>
        <v>AVAILABLE</v>
      </c>
    </row>
    <row r="155" spans="1:4" x14ac:dyDescent="0.3">
      <c r="A155" s="16">
        <f t="shared" si="8"/>
        <v>46176</v>
      </c>
      <c r="B155">
        <f>COUNTIFS('2025'!G:G,"&lt;="&amp;A155,'2025'!H:H,"&gt;="&amp;A155)</f>
        <v>0</v>
      </c>
      <c r="C155">
        <f t="shared" si="6"/>
        <v>6</v>
      </c>
      <c r="D155" t="str">
        <f t="shared" si="7"/>
        <v>AVAILABLE</v>
      </c>
    </row>
    <row r="156" spans="1:4" x14ac:dyDescent="0.3">
      <c r="A156" s="16">
        <f t="shared" si="8"/>
        <v>46177</v>
      </c>
      <c r="B156">
        <f>COUNTIFS('2025'!G:G,"&lt;="&amp;A156,'2025'!H:H,"&gt;="&amp;A156)</f>
        <v>1</v>
      </c>
      <c r="C156">
        <f t="shared" si="6"/>
        <v>5</v>
      </c>
      <c r="D156" t="str">
        <f t="shared" si="7"/>
        <v>AVAILABLE</v>
      </c>
    </row>
    <row r="157" spans="1:4" x14ac:dyDescent="0.3">
      <c r="A157" s="16">
        <f t="shared" si="8"/>
        <v>46178</v>
      </c>
      <c r="B157">
        <f>COUNTIFS('2025'!G:G,"&lt;="&amp;A157,'2025'!H:H,"&gt;="&amp;A157)</f>
        <v>1</v>
      </c>
      <c r="C157">
        <f t="shared" si="6"/>
        <v>5</v>
      </c>
      <c r="D157" t="str">
        <f t="shared" si="7"/>
        <v>AVAILABLE</v>
      </c>
    </row>
    <row r="158" spans="1:4" x14ac:dyDescent="0.3">
      <c r="A158" s="16">
        <f t="shared" si="8"/>
        <v>46179</v>
      </c>
      <c r="B158">
        <f>COUNTIFS('2025'!G:G,"&lt;="&amp;A158,'2025'!H:H,"&gt;="&amp;A158)</f>
        <v>1</v>
      </c>
      <c r="C158">
        <f t="shared" si="6"/>
        <v>5</v>
      </c>
      <c r="D158" t="str">
        <f t="shared" si="7"/>
        <v>AVAILABLE</v>
      </c>
    </row>
    <row r="159" spans="1:4" x14ac:dyDescent="0.3">
      <c r="A159" s="16">
        <f t="shared" si="8"/>
        <v>46180</v>
      </c>
      <c r="B159">
        <f>COUNTIFS('2025'!G:G,"&lt;="&amp;A159,'2025'!H:H,"&gt;="&amp;A159)</f>
        <v>1</v>
      </c>
      <c r="C159">
        <f t="shared" si="6"/>
        <v>5</v>
      </c>
      <c r="D159" t="str">
        <f t="shared" si="7"/>
        <v>AVAILABLE</v>
      </c>
    </row>
    <row r="160" spans="1:4" x14ac:dyDescent="0.3">
      <c r="A160" s="16">
        <f t="shared" si="8"/>
        <v>46181</v>
      </c>
      <c r="B160">
        <f>COUNTIFS('2025'!G:G,"&lt;="&amp;A160,'2025'!H:H,"&gt;="&amp;A160)</f>
        <v>1</v>
      </c>
      <c r="C160">
        <f t="shared" si="6"/>
        <v>5</v>
      </c>
      <c r="D160" t="str">
        <f t="shared" si="7"/>
        <v>AVAILABLE</v>
      </c>
    </row>
    <row r="161" spans="1:4" x14ac:dyDescent="0.3">
      <c r="A161" s="16">
        <f t="shared" si="8"/>
        <v>46182</v>
      </c>
      <c r="B161">
        <f>COUNTIFS('2025'!G:G,"&lt;="&amp;A161,'2025'!H:H,"&gt;="&amp;A161)</f>
        <v>1</v>
      </c>
      <c r="C161">
        <f t="shared" si="6"/>
        <v>5</v>
      </c>
      <c r="D161" t="str">
        <f t="shared" si="7"/>
        <v>AVAILABLE</v>
      </c>
    </row>
    <row r="162" spans="1:4" x14ac:dyDescent="0.3">
      <c r="A162" s="16">
        <f t="shared" si="8"/>
        <v>46183</v>
      </c>
      <c r="B162">
        <f>COUNTIFS('2025'!G:G,"&lt;="&amp;A162,'2025'!H:H,"&gt;="&amp;A162)</f>
        <v>1</v>
      </c>
      <c r="C162">
        <f t="shared" si="6"/>
        <v>5</v>
      </c>
      <c r="D162" t="str">
        <f t="shared" si="7"/>
        <v>AVAILABLE</v>
      </c>
    </row>
    <row r="163" spans="1:4" x14ac:dyDescent="0.3">
      <c r="A163" s="16">
        <f t="shared" si="8"/>
        <v>46184</v>
      </c>
      <c r="B163">
        <f>COUNTIFS('2025'!G:G,"&lt;="&amp;A163,'2025'!H:H,"&gt;="&amp;A163)</f>
        <v>2</v>
      </c>
      <c r="C163">
        <f t="shared" si="6"/>
        <v>4</v>
      </c>
      <c r="D163" t="str">
        <f t="shared" si="7"/>
        <v>AVAILABLE</v>
      </c>
    </row>
    <row r="164" spans="1:4" x14ac:dyDescent="0.3">
      <c r="A164" s="16">
        <f t="shared" si="8"/>
        <v>46185</v>
      </c>
      <c r="B164">
        <f>COUNTIFS('2025'!G:G,"&lt;="&amp;A164,'2025'!H:H,"&gt;="&amp;A164)</f>
        <v>2</v>
      </c>
      <c r="C164">
        <f t="shared" si="6"/>
        <v>4</v>
      </c>
      <c r="D164" t="str">
        <f t="shared" si="7"/>
        <v>AVAILABLE</v>
      </c>
    </row>
    <row r="165" spans="1:4" x14ac:dyDescent="0.3">
      <c r="A165" s="16">
        <f t="shared" si="8"/>
        <v>46186</v>
      </c>
      <c r="B165">
        <f>COUNTIFS('2025'!G:G,"&lt;="&amp;A165,'2025'!H:H,"&gt;="&amp;A165)</f>
        <v>2</v>
      </c>
      <c r="C165">
        <f t="shared" si="6"/>
        <v>4</v>
      </c>
      <c r="D165" t="str">
        <f t="shared" si="7"/>
        <v>AVAILABLE</v>
      </c>
    </row>
    <row r="166" spans="1:4" x14ac:dyDescent="0.3">
      <c r="A166" s="16">
        <f t="shared" si="8"/>
        <v>46187</v>
      </c>
      <c r="B166">
        <f>COUNTIFS('2025'!G:G,"&lt;="&amp;A166,'2025'!H:H,"&gt;="&amp;A166)</f>
        <v>2</v>
      </c>
      <c r="C166">
        <f t="shared" si="6"/>
        <v>4</v>
      </c>
      <c r="D166" t="str">
        <f t="shared" si="7"/>
        <v>AVAILABLE</v>
      </c>
    </row>
    <row r="167" spans="1:4" x14ac:dyDescent="0.3">
      <c r="A167" s="16">
        <f t="shared" si="8"/>
        <v>46188</v>
      </c>
      <c r="B167">
        <f>COUNTIFS('2025'!G:G,"&lt;="&amp;A167,'2025'!H:H,"&gt;="&amp;A167)</f>
        <v>1</v>
      </c>
      <c r="C167">
        <f t="shared" si="6"/>
        <v>5</v>
      </c>
      <c r="D167" t="str">
        <f t="shared" si="7"/>
        <v>AVAILABLE</v>
      </c>
    </row>
    <row r="168" spans="1:4" x14ac:dyDescent="0.3">
      <c r="A168" s="16">
        <f t="shared" si="8"/>
        <v>46189</v>
      </c>
      <c r="B168">
        <f>COUNTIFS('2025'!G:G,"&lt;="&amp;A168,'2025'!H:H,"&gt;="&amp;A168)</f>
        <v>1</v>
      </c>
      <c r="C168">
        <f t="shared" si="6"/>
        <v>5</v>
      </c>
      <c r="D168" t="str">
        <f t="shared" si="7"/>
        <v>AVAILABLE</v>
      </c>
    </row>
    <row r="169" spans="1:4" x14ac:dyDescent="0.3">
      <c r="A169" s="16">
        <f t="shared" si="8"/>
        <v>46190</v>
      </c>
      <c r="B169">
        <f>COUNTIFS('2025'!G:G,"&lt;="&amp;A169,'2025'!H:H,"&gt;="&amp;A169)</f>
        <v>2</v>
      </c>
      <c r="C169">
        <f t="shared" si="6"/>
        <v>4</v>
      </c>
      <c r="D169" t="str">
        <f t="shared" si="7"/>
        <v>AVAILABLE</v>
      </c>
    </row>
    <row r="170" spans="1:4" x14ac:dyDescent="0.3">
      <c r="A170" s="16">
        <f t="shared" si="8"/>
        <v>46191</v>
      </c>
      <c r="B170">
        <f>COUNTIFS('2025'!G:G,"&lt;="&amp;A170,'2025'!H:H,"&gt;="&amp;A170)</f>
        <v>2</v>
      </c>
      <c r="C170">
        <f t="shared" si="6"/>
        <v>4</v>
      </c>
      <c r="D170" t="str">
        <f t="shared" si="7"/>
        <v>AVAILABLE</v>
      </c>
    </row>
    <row r="171" spans="1:4" x14ac:dyDescent="0.3">
      <c r="A171" s="16">
        <f t="shared" si="8"/>
        <v>46192</v>
      </c>
      <c r="B171">
        <f>COUNTIFS('2025'!G:G,"&lt;="&amp;A171,'2025'!H:H,"&gt;="&amp;A171)</f>
        <v>2</v>
      </c>
      <c r="C171">
        <f t="shared" si="6"/>
        <v>4</v>
      </c>
      <c r="D171" t="str">
        <f t="shared" si="7"/>
        <v>AVAILABLE</v>
      </c>
    </row>
    <row r="172" spans="1:4" x14ac:dyDescent="0.3">
      <c r="A172" s="16">
        <f t="shared" si="8"/>
        <v>46193</v>
      </c>
      <c r="B172">
        <f>COUNTIFS('2025'!G:G,"&lt;="&amp;A172,'2025'!H:H,"&gt;="&amp;A172)</f>
        <v>3</v>
      </c>
      <c r="C172">
        <f t="shared" si="6"/>
        <v>3</v>
      </c>
      <c r="D172" t="str">
        <f t="shared" si="7"/>
        <v>AVAILABLE</v>
      </c>
    </row>
    <row r="173" spans="1:4" x14ac:dyDescent="0.3">
      <c r="A173" s="16">
        <f t="shared" si="8"/>
        <v>46194</v>
      </c>
      <c r="B173">
        <f>COUNTIFS('2025'!G:G,"&lt;="&amp;A173,'2025'!H:H,"&gt;="&amp;A173)</f>
        <v>3</v>
      </c>
      <c r="C173">
        <f t="shared" si="6"/>
        <v>3</v>
      </c>
      <c r="D173" t="str">
        <f t="shared" si="7"/>
        <v>AVAILABLE</v>
      </c>
    </row>
    <row r="174" spans="1:4" x14ac:dyDescent="0.3">
      <c r="A174" s="16">
        <f t="shared" si="8"/>
        <v>46195</v>
      </c>
      <c r="B174">
        <f>COUNTIFS('2025'!G:G,"&lt;="&amp;A174,'2025'!H:H,"&gt;="&amp;A174)</f>
        <v>3</v>
      </c>
      <c r="C174">
        <f t="shared" si="6"/>
        <v>3</v>
      </c>
      <c r="D174" t="str">
        <f t="shared" si="7"/>
        <v>AVAILABLE</v>
      </c>
    </row>
    <row r="175" spans="1:4" x14ac:dyDescent="0.3">
      <c r="A175" s="16">
        <f t="shared" si="8"/>
        <v>46196</v>
      </c>
      <c r="B175">
        <f>COUNTIFS('2025'!G:G,"&lt;="&amp;A175,'2025'!H:H,"&gt;="&amp;A175)</f>
        <v>3</v>
      </c>
      <c r="C175">
        <f t="shared" si="6"/>
        <v>3</v>
      </c>
      <c r="D175" t="str">
        <f t="shared" si="7"/>
        <v>AVAILABLE</v>
      </c>
    </row>
    <row r="176" spans="1:4" x14ac:dyDescent="0.3">
      <c r="A176" s="16">
        <f t="shared" si="8"/>
        <v>46197</v>
      </c>
      <c r="B176">
        <f>COUNTIFS('2025'!G:G,"&lt;="&amp;A176,'2025'!H:H,"&gt;="&amp;A176)</f>
        <v>2</v>
      </c>
      <c r="C176">
        <f t="shared" si="6"/>
        <v>4</v>
      </c>
      <c r="D176" t="str">
        <f t="shared" si="7"/>
        <v>AVAILABLE</v>
      </c>
    </row>
    <row r="177" spans="1:4" x14ac:dyDescent="0.3">
      <c r="A177" s="16">
        <f t="shared" si="8"/>
        <v>46198</v>
      </c>
      <c r="B177">
        <f>COUNTIFS('2025'!G:G,"&lt;="&amp;A177,'2025'!H:H,"&gt;="&amp;A177)</f>
        <v>1</v>
      </c>
      <c r="C177">
        <f t="shared" si="6"/>
        <v>5</v>
      </c>
      <c r="D177" t="str">
        <f t="shared" si="7"/>
        <v>AVAILABLE</v>
      </c>
    </row>
    <row r="178" spans="1:4" x14ac:dyDescent="0.3">
      <c r="A178" s="16">
        <f t="shared" si="8"/>
        <v>46199</v>
      </c>
      <c r="B178">
        <f>COUNTIFS('2025'!G:G,"&lt;="&amp;A178,'2025'!H:H,"&gt;="&amp;A178)</f>
        <v>1</v>
      </c>
      <c r="C178">
        <f t="shared" si="6"/>
        <v>5</v>
      </c>
      <c r="D178" t="str">
        <f t="shared" si="7"/>
        <v>AVAILABLE</v>
      </c>
    </row>
    <row r="179" spans="1:4" x14ac:dyDescent="0.3">
      <c r="A179" s="16">
        <f t="shared" si="8"/>
        <v>46200</v>
      </c>
      <c r="B179">
        <f>COUNTIFS('2025'!G:G,"&lt;="&amp;A179,'2025'!H:H,"&gt;="&amp;A179)</f>
        <v>0</v>
      </c>
      <c r="C179">
        <f t="shared" si="6"/>
        <v>6</v>
      </c>
      <c r="D179" t="str">
        <f t="shared" si="7"/>
        <v>AVAILABLE</v>
      </c>
    </row>
    <row r="180" spans="1:4" x14ac:dyDescent="0.3">
      <c r="A180" s="16">
        <f t="shared" si="8"/>
        <v>46201</v>
      </c>
      <c r="B180">
        <f>COUNTIFS('2025'!G:G,"&lt;="&amp;A180,'2025'!H:H,"&gt;="&amp;A180)</f>
        <v>0</v>
      </c>
      <c r="C180">
        <f t="shared" si="6"/>
        <v>6</v>
      </c>
      <c r="D180" t="str">
        <f t="shared" si="7"/>
        <v>AVAILABLE</v>
      </c>
    </row>
    <row r="181" spans="1:4" x14ac:dyDescent="0.3">
      <c r="A181" s="16">
        <f t="shared" si="8"/>
        <v>46202</v>
      </c>
      <c r="B181">
        <f>COUNTIFS('2025'!G:G,"&lt;="&amp;A181,'2025'!H:H,"&gt;="&amp;A181)</f>
        <v>0</v>
      </c>
      <c r="C181">
        <f t="shared" si="6"/>
        <v>6</v>
      </c>
      <c r="D181" t="str">
        <f t="shared" si="7"/>
        <v>AVAILABLE</v>
      </c>
    </row>
    <row r="182" spans="1:4" x14ac:dyDescent="0.3">
      <c r="A182" s="16">
        <f t="shared" si="8"/>
        <v>46203</v>
      </c>
      <c r="B182">
        <f>COUNTIFS('2025'!G:G,"&lt;="&amp;A182,'2025'!H:H,"&gt;="&amp;A182)</f>
        <v>0</v>
      </c>
      <c r="C182">
        <f t="shared" si="6"/>
        <v>6</v>
      </c>
      <c r="D182" t="str">
        <f t="shared" si="7"/>
        <v>AVAILABLE</v>
      </c>
    </row>
    <row r="183" spans="1:4" x14ac:dyDescent="0.3">
      <c r="A183" s="16">
        <f t="shared" si="8"/>
        <v>46204</v>
      </c>
      <c r="B183">
        <f>COUNTIFS('2025'!G:G,"&lt;="&amp;A183,'2025'!H:H,"&gt;="&amp;A183)</f>
        <v>0</v>
      </c>
      <c r="C183">
        <f t="shared" si="6"/>
        <v>6</v>
      </c>
      <c r="D183" t="str">
        <f t="shared" si="7"/>
        <v>AVAILABLE</v>
      </c>
    </row>
    <row r="184" spans="1:4" x14ac:dyDescent="0.3">
      <c r="A184" s="16">
        <f t="shared" si="8"/>
        <v>46205</v>
      </c>
      <c r="B184">
        <f>COUNTIFS('2025'!G:G,"&lt;="&amp;A184,'2025'!H:H,"&gt;="&amp;A184)</f>
        <v>0</v>
      </c>
      <c r="C184">
        <f t="shared" si="6"/>
        <v>6</v>
      </c>
      <c r="D184" t="str">
        <f t="shared" si="7"/>
        <v>AVAILABLE</v>
      </c>
    </row>
    <row r="185" spans="1:4" x14ac:dyDescent="0.3">
      <c r="A185" s="16">
        <f t="shared" si="8"/>
        <v>46206</v>
      </c>
      <c r="B185">
        <f>COUNTIFS('2025'!G:G,"&lt;="&amp;A185,'2025'!H:H,"&gt;="&amp;A185)</f>
        <v>0</v>
      </c>
      <c r="C185">
        <f t="shared" si="6"/>
        <v>6</v>
      </c>
      <c r="D185" t="str">
        <f t="shared" si="7"/>
        <v>AVAILABLE</v>
      </c>
    </row>
    <row r="186" spans="1:4" x14ac:dyDescent="0.3">
      <c r="A186" s="16">
        <f t="shared" si="8"/>
        <v>46207</v>
      </c>
      <c r="B186">
        <f>COUNTIFS('2025'!G:G,"&lt;="&amp;A186,'2025'!H:H,"&gt;="&amp;A186)</f>
        <v>0</v>
      </c>
      <c r="C186">
        <f t="shared" si="6"/>
        <v>6</v>
      </c>
      <c r="D186" t="str">
        <f t="shared" si="7"/>
        <v>AVAILABLE</v>
      </c>
    </row>
    <row r="187" spans="1:4" x14ac:dyDescent="0.3">
      <c r="A187" s="16">
        <f t="shared" si="8"/>
        <v>46208</v>
      </c>
      <c r="B187">
        <f>COUNTIFS('2025'!G:G,"&lt;="&amp;A187,'2025'!H:H,"&gt;="&amp;A187)</f>
        <v>0</v>
      </c>
      <c r="C187">
        <f t="shared" si="6"/>
        <v>6</v>
      </c>
      <c r="D187" t="str">
        <f t="shared" si="7"/>
        <v>AVAILABLE</v>
      </c>
    </row>
    <row r="188" spans="1:4" x14ac:dyDescent="0.3">
      <c r="A188" s="16">
        <f t="shared" si="8"/>
        <v>46209</v>
      </c>
      <c r="B188">
        <f>COUNTIFS('2025'!G:G,"&lt;="&amp;A188,'2025'!H:H,"&gt;="&amp;A188)</f>
        <v>0</v>
      </c>
      <c r="C188">
        <f t="shared" si="6"/>
        <v>6</v>
      </c>
      <c r="D188" t="str">
        <f t="shared" si="7"/>
        <v>AVAILABLE</v>
      </c>
    </row>
    <row r="189" spans="1:4" x14ac:dyDescent="0.3">
      <c r="A189" s="16">
        <f t="shared" si="8"/>
        <v>46210</v>
      </c>
      <c r="B189">
        <f>COUNTIFS('2025'!G:G,"&lt;="&amp;A189,'2025'!H:H,"&gt;="&amp;A189)</f>
        <v>0</v>
      </c>
      <c r="C189">
        <f t="shared" si="6"/>
        <v>6</v>
      </c>
      <c r="D189" t="str">
        <f t="shared" si="7"/>
        <v>AVAILABLE</v>
      </c>
    </row>
    <row r="190" spans="1:4" x14ac:dyDescent="0.3">
      <c r="A190" s="16">
        <f t="shared" si="8"/>
        <v>46211</v>
      </c>
      <c r="B190">
        <f>COUNTIFS('2025'!G:G,"&lt;="&amp;A190,'2025'!H:H,"&gt;="&amp;A190)</f>
        <v>0</v>
      </c>
      <c r="C190">
        <f t="shared" si="6"/>
        <v>6</v>
      </c>
      <c r="D190" t="str">
        <f t="shared" si="7"/>
        <v>AVAILABLE</v>
      </c>
    </row>
    <row r="191" spans="1:4" x14ac:dyDescent="0.3">
      <c r="A191" s="16">
        <f t="shared" si="8"/>
        <v>46212</v>
      </c>
      <c r="B191">
        <f>COUNTIFS('2025'!G:G,"&lt;="&amp;A191,'2025'!H:H,"&gt;="&amp;A191)</f>
        <v>0</v>
      </c>
      <c r="C191">
        <f t="shared" si="6"/>
        <v>6</v>
      </c>
      <c r="D191" t="str">
        <f t="shared" si="7"/>
        <v>AVAILABLE</v>
      </c>
    </row>
    <row r="192" spans="1:4" x14ac:dyDescent="0.3">
      <c r="A192" s="16">
        <f t="shared" si="8"/>
        <v>46213</v>
      </c>
      <c r="B192">
        <f>COUNTIFS('2025'!G:G,"&lt;="&amp;A192,'2025'!H:H,"&gt;="&amp;A192)</f>
        <v>0</v>
      </c>
      <c r="C192">
        <f t="shared" si="6"/>
        <v>6</v>
      </c>
      <c r="D192" t="str">
        <f t="shared" si="7"/>
        <v>AVAILABLE</v>
      </c>
    </row>
    <row r="193" spans="1:4" x14ac:dyDescent="0.3">
      <c r="A193" s="16">
        <f t="shared" si="8"/>
        <v>46214</v>
      </c>
      <c r="B193">
        <f>COUNTIFS('2025'!G:G,"&lt;="&amp;A193,'2025'!H:H,"&gt;="&amp;A193)</f>
        <v>0</v>
      </c>
      <c r="C193">
        <f t="shared" si="6"/>
        <v>6</v>
      </c>
      <c r="D193" t="str">
        <f t="shared" si="7"/>
        <v>AVAILABLE</v>
      </c>
    </row>
    <row r="194" spans="1:4" x14ac:dyDescent="0.3">
      <c r="A194" s="16">
        <f t="shared" si="8"/>
        <v>46215</v>
      </c>
      <c r="B194">
        <f>COUNTIFS('2025'!G:G,"&lt;="&amp;A194,'2025'!H:H,"&gt;="&amp;A194)</f>
        <v>0</v>
      </c>
      <c r="C194">
        <f t="shared" si="6"/>
        <v>6</v>
      </c>
      <c r="D194" t="str">
        <f t="shared" si="7"/>
        <v>AVAILABLE</v>
      </c>
    </row>
    <row r="195" spans="1:4" x14ac:dyDescent="0.3">
      <c r="A195" s="16">
        <f t="shared" si="8"/>
        <v>46216</v>
      </c>
      <c r="B195">
        <f>COUNTIFS('2025'!G:G,"&lt;="&amp;A195,'2025'!H:H,"&gt;="&amp;A195)</f>
        <v>0</v>
      </c>
      <c r="C195">
        <f t="shared" ref="C195:C258" si="9">$G$1-B195</f>
        <v>6</v>
      </c>
      <c r="D195" t="str">
        <f t="shared" ref="D195:D258" si="10">IF(C195&lt;0,"OVERBOOKED",IF(C195=0,"FULL","AVAILABLE"))</f>
        <v>AVAILABLE</v>
      </c>
    </row>
    <row r="196" spans="1:4" x14ac:dyDescent="0.3">
      <c r="A196" s="16">
        <f t="shared" ref="A196:A259" si="11">A195+1</f>
        <v>46217</v>
      </c>
      <c r="B196">
        <f>COUNTIFS('2025'!G:G,"&lt;="&amp;A196,'2025'!H:H,"&gt;="&amp;A196)</f>
        <v>0</v>
      </c>
      <c r="C196">
        <f t="shared" si="9"/>
        <v>6</v>
      </c>
      <c r="D196" t="str">
        <f t="shared" si="10"/>
        <v>AVAILABLE</v>
      </c>
    </row>
    <row r="197" spans="1:4" x14ac:dyDescent="0.3">
      <c r="A197" s="16">
        <f t="shared" si="11"/>
        <v>46218</v>
      </c>
      <c r="B197">
        <f>COUNTIFS('2025'!G:G,"&lt;="&amp;A197,'2025'!H:H,"&gt;="&amp;A197)</f>
        <v>0</v>
      </c>
      <c r="C197">
        <f t="shared" si="9"/>
        <v>6</v>
      </c>
      <c r="D197" t="str">
        <f t="shared" si="10"/>
        <v>AVAILABLE</v>
      </c>
    </row>
    <row r="198" spans="1:4" x14ac:dyDescent="0.3">
      <c r="A198" s="16">
        <f t="shared" si="11"/>
        <v>46219</v>
      </c>
      <c r="B198">
        <f>COUNTIFS('2025'!G:G,"&lt;="&amp;A198,'2025'!H:H,"&gt;="&amp;A198)</f>
        <v>0</v>
      </c>
      <c r="C198">
        <f t="shared" si="9"/>
        <v>6</v>
      </c>
      <c r="D198" t="str">
        <f t="shared" si="10"/>
        <v>AVAILABLE</v>
      </c>
    </row>
    <row r="199" spans="1:4" x14ac:dyDescent="0.3">
      <c r="A199" s="16">
        <f t="shared" si="11"/>
        <v>46220</v>
      </c>
      <c r="B199">
        <f>COUNTIFS('2025'!G:G,"&lt;="&amp;A199,'2025'!H:H,"&gt;="&amp;A199)</f>
        <v>0</v>
      </c>
      <c r="C199">
        <f t="shared" si="9"/>
        <v>6</v>
      </c>
      <c r="D199" t="str">
        <f t="shared" si="10"/>
        <v>AVAILABLE</v>
      </c>
    </row>
    <row r="200" spans="1:4" x14ac:dyDescent="0.3">
      <c r="A200" s="16">
        <f t="shared" si="11"/>
        <v>46221</v>
      </c>
      <c r="B200">
        <f>COUNTIFS('2025'!G:G,"&lt;="&amp;A200,'2025'!H:H,"&gt;="&amp;A200)</f>
        <v>0</v>
      </c>
      <c r="C200">
        <f t="shared" si="9"/>
        <v>6</v>
      </c>
      <c r="D200" t="str">
        <f t="shared" si="10"/>
        <v>AVAILABLE</v>
      </c>
    </row>
    <row r="201" spans="1:4" x14ac:dyDescent="0.3">
      <c r="A201" s="16">
        <f t="shared" si="11"/>
        <v>46222</v>
      </c>
      <c r="B201">
        <f>COUNTIFS('2025'!G:G,"&lt;="&amp;A201,'2025'!H:H,"&gt;="&amp;A201)</f>
        <v>0</v>
      </c>
      <c r="C201">
        <f t="shared" si="9"/>
        <v>6</v>
      </c>
      <c r="D201" t="str">
        <f t="shared" si="10"/>
        <v>AVAILABLE</v>
      </c>
    </row>
    <row r="202" spans="1:4" x14ac:dyDescent="0.3">
      <c r="A202" s="16">
        <f t="shared" si="11"/>
        <v>46223</v>
      </c>
      <c r="B202">
        <f>COUNTIFS('2025'!G:G,"&lt;="&amp;A202,'2025'!H:H,"&gt;="&amp;A202)</f>
        <v>0</v>
      </c>
      <c r="C202">
        <f t="shared" si="9"/>
        <v>6</v>
      </c>
      <c r="D202" t="str">
        <f t="shared" si="10"/>
        <v>AVAILABLE</v>
      </c>
    </row>
    <row r="203" spans="1:4" x14ac:dyDescent="0.3">
      <c r="A203" s="16">
        <f t="shared" si="11"/>
        <v>46224</v>
      </c>
      <c r="B203">
        <f>COUNTIFS('2025'!G:G,"&lt;="&amp;A203,'2025'!H:H,"&gt;="&amp;A203)</f>
        <v>0</v>
      </c>
      <c r="C203">
        <f t="shared" si="9"/>
        <v>6</v>
      </c>
      <c r="D203" t="str">
        <f t="shared" si="10"/>
        <v>AVAILABLE</v>
      </c>
    </row>
    <row r="204" spans="1:4" x14ac:dyDescent="0.3">
      <c r="A204" s="16">
        <f t="shared" si="11"/>
        <v>46225</v>
      </c>
      <c r="B204">
        <f>COUNTIFS('2025'!G:G,"&lt;="&amp;A204,'2025'!H:H,"&gt;="&amp;A204)</f>
        <v>0</v>
      </c>
      <c r="C204">
        <f t="shared" si="9"/>
        <v>6</v>
      </c>
      <c r="D204" t="str">
        <f t="shared" si="10"/>
        <v>AVAILABLE</v>
      </c>
    </row>
    <row r="205" spans="1:4" x14ac:dyDescent="0.3">
      <c r="A205" s="16">
        <f t="shared" si="11"/>
        <v>46226</v>
      </c>
      <c r="B205">
        <f>COUNTIFS('2025'!G:G,"&lt;="&amp;A205,'2025'!H:H,"&gt;="&amp;A205)</f>
        <v>0</v>
      </c>
      <c r="C205">
        <f t="shared" si="9"/>
        <v>6</v>
      </c>
      <c r="D205" t="str">
        <f t="shared" si="10"/>
        <v>AVAILABLE</v>
      </c>
    </row>
    <row r="206" spans="1:4" x14ac:dyDescent="0.3">
      <c r="A206" s="16">
        <f t="shared" si="11"/>
        <v>46227</v>
      </c>
      <c r="B206">
        <f>COUNTIFS('2025'!G:G,"&lt;="&amp;A206,'2025'!H:H,"&gt;="&amp;A206)</f>
        <v>0</v>
      </c>
      <c r="C206">
        <f t="shared" si="9"/>
        <v>6</v>
      </c>
      <c r="D206" t="str">
        <f t="shared" si="10"/>
        <v>AVAILABLE</v>
      </c>
    </row>
    <row r="207" spans="1:4" x14ac:dyDescent="0.3">
      <c r="A207" s="16">
        <f t="shared" si="11"/>
        <v>46228</v>
      </c>
      <c r="B207">
        <f>COUNTIFS('2025'!G:G,"&lt;="&amp;A207,'2025'!H:H,"&gt;="&amp;A207)</f>
        <v>0</v>
      </c>
      <c r="C207">
        <f t="shared" si="9"/>
        <v>6</v>
      </c>
      <c r="D207" t="str">
        <f t="shared" si="10"/>
        <v>AVAILABLE</v>
      </c>
    </row>
    <row r="208" spans="1:4" x14ac:dyDescent="0.3">
      <c r="A208" s="16">
        <f t="shared" si="11"/>
        <v>46229</v>
      </c>
      <c r="B208">
        <f>COUNTIFS('2025'!G:G,"&lt;="&amp;A208,'2025'!H:H,"&gt;="&amp;A208)</f>
        <v>0</v>
      </c>
      <c r="C208">
        <f t="shared" si="9"/>
        <v>6</v>
      </c>
      <c r="D208" t="str">
        <f t="shared" si="10"/>
        <v>AVAILABLE</v>
      </c>
    </row>
    <row r="209" spans="1:4" x14ac:dyDescent="0.3">
      <c r="A209" s="16">
        <f t="shared" si="11"/>
        <v>46230</v>
      </c>
      <c r="B209">
        <f>COUNTIFS('2025'!G:G,"&lt;="&amp;A209,'2025'!H:H,"&gt;="&amp;A209)</f>
        <v>0</v>
      </c>
      <c r="C209">
        <f t="shared" si="9"/>
        <v>6</v>
      </c>
      <c r="D209" t="str">
        <f t="shared" si="10"/>
        <v>AVAILABLE</v>
      </c>
    </row>
    <row r="210" spans="1:4" x14ac:dyDescent="0.3">
      <c r="A210" s="16">
        <f t="shared" si="11"/>
        <v>46231</v>
      </c>
      <c r="B210">
        <f>COUNTIFS('2025'!G:G,"&lt;="&amp;A210,'2025'!H:H,"&gt;="&amp;A210)</f>
        <v>0</v>
      </c>
      <c r="C210">
        <f t="shared" si="9"/>
        <v>6</v>
      </c>
      <c r="D210" t="str">
        <f t="shared" si="10"/>
        <v>AVAILABLE</v>
      </c>
    </row>
    <row r="211" spans="1:4" x14ac:dyDescent="0.3">
      <c r="A211" s="16">
        <f t="shared" si="11"/>
        <v>46232</v>
      </c>
      <c r="B211">
        <f>COUNTIFS('2025'!G:G,"&lt;="&amp;A211,'2025'!H:H,"&gt;="&amp;A211)</f>
        <v>0</v>
      </c>
      <c r="C211">
        <f t="shared" si="9"/>
        <v>6</v>
      </c>
      <c r="D211" t="str">
        <f t="shared" si="10"/>
        <v>AVAILABLE</v>
      </c>
    </row>
    <row r="212" spans="1:4" x14ac:dyDescent="0.3">
      <c r="A212" s="16">
        <f t="shared" si="11"/>
        <v>46233</v>
      </c>
      <c r="B212">
        <f>COUNTIFS('2025'!G:G,"&lt;="&amp;A212,'2025'!H:H,"&gt;="&amp;A212)</f>
        <v>0</v>
      </c>
      <c r="C212">
        <f t="shared" si="9"/>
        <v>6</v>
      </c>
      <c r="D212" t="str">
        <f t="shared" si="10"/>
        <v>AVAILABLE</v>
      </c>
    </row>
    <row r="213" spans="1:4" x14ac:dyDescent="0.3">
      <c r="A213" s="16">
        <f t="shared" si="11"/>
        <v>46234</v>
      </c>
      <c r="B213">
        <f>COUNTIFS('2025'!G:G,"&lt;="&amp;A213,'2025'!H:H,"&gt;="&amp;A213)</f>
        <v>0</v>
      </c>
      <c r="C213">
        <f t="shared" si="9"/>
        <v>6</v>
      </c>
      <c r="D213" t="str">
        <f t="shared" si="10"/>
        <v>AVAILABLE</v>
      </c>
    </row>
    <row r="214" spans="1:4" x14ac:dyDescent="0.3">
      <c r="A214" s="16">
        <f t="shared" si="11"/>
        <v>46235</v>
      </c>
      <c r="B214">
        <f>COUNTIFS('2025'!G:G,"&lt;="&amp;A214,'2025'!H:H,"&gt;="&amp;A214)</f>
        <v>0</v>
      </c>
      <c r="C214">
        <f t="shared" si="9"/>
        <v>6</v>
      </c>
      <c r="D214" t="str">
        <f t="shared" si="10"/>
        <v>AVAILABLE</v>
      </c>
    </row>
    <row r="215" spans="1:4" x14ac:dyDescent="0.3">
      <c r="A215" s="16">
        <f t="shared" si="11"/>
        <v>46236</v>
      </c>
      <c r="B215">
        <f>COUNTIFS('2025'!G:G,"&lt;="&amp;A215,'2025'!H:H,"&gt;="&amp;A215)</f>
        <v>0</v>
      </c>
      <c r="C215">
        <f t="shared" si="9"/>
        <v>6</v>
      </c>
      <c r="D215" t="str">
        <f t="shared" si="10"/>
        <v>AVAILABLE</v>
      </c>
    </row>
    <row r="216" spans="1:4" x14ac:dyDescent="0.3">
      <c r="A216" s="16">
        <f t="shared" si="11"/>
        <v>46237</v>
      </c>
      <c r="B216">
        <f>COUNTIFS('2025'!G:G,"&lt;="&amp;A216,'2025'!H:H,"&gt;="&amp;A216)</f>
        <v>0</v>
      </c>
      <c r="C216">
        <f t="shared" si="9"/>
        <v>6</v>
      </c>
      <c r="D216" t="str">
        <f t="shared" si="10"/>
        <v>AVAILABLE</v>
      </c>
    </row>
    <row r="217" spans="1:4" x14ac:dyDescent="0.3">
      <c r="A217" s="16">
        <f t="shared" si="11"/>
        <v>46238</v>
      </c>
      <c r="B217">
        <f>COUNTIFS('2025'!G:G,"&lt;="&amp;A217,'2025'!H:H,"&gt;="&amp;A217)</f>
        <v>0</v>
      </c>
      <c r="C217">
        <f t="shared" si="9"/>
        <v>6</v>
      </c>
      <c r="D217" t="str">
        <f t="shared" si="10"/>
        <v>AVAILABLE</v>
      </c>
    </row>
    <row r="218" spans="1:4" x14ac:dyDescent="0.3">
      <c r="A218" s="16">
        <f t="shared" si="11"/>
        <v>46239</v>
      </c>
      <c r="B218">
        <f>COUNTIFS('2025'!G:G,"&lt;="&amp;A218,'2025'!H:H,"&gt;="&amp;A218)</f>
        <v>0</v>
      </c>
      <c r="C218">
        <f t="shared" si="9"/>
        <v>6</v>
      </c>
      <c r="D218" t="str">
        <f t="shared" si="10"/>
        <v>AVAILABLE</v>
      </c>
    </row>
    <row r="219" spans="1:4" x14ac:dyDescent="0.3">
      <c r="A219" s="16">
        <f t="shared" si="11"/>
        <v>46240</v>
      </c>
      <c r="B219">
        <f>COUNTIFS('2025'!G:G,"&lt;="&amp;A219,'2025'!H:H,"&gt;="&amp;A219)</f>
        <v>1</v>
      </c>
      <c r="C219">
        <f t="shared" si="9"/>
        <v>5</v>
      </c>
      <c r="D219" t="str">
        <f t="shared" si="10"/>
        <v>AVAILABLE</v>
      </c>
    </row>
    <row r="220" spans="1:4" x14ac:dyDescent="0.3">
      <c r="A220" s="16">
        <f t="shared" si="11"/>
        <v>46241</v>
      </c>
      <c r="B220">
        <f>COUNTIFS('2025'!G:G,"&lt;="&amp;A220,'2025'!H:H,"&gt;="&amp;A220)</f>
        <v>1</v>
      </c>
      <c r="C220">
        <f t="shared" si="9"/>
        <v>5</v>
      </c>
      <c r="D220" t="str">
        <f t="shared" si="10"/>
        <v>AVAILABLE</v>
      </c>
    </row>
    <row r="221" spans="1:4" x14ac:dyDescent="0.3">
      <c r="A221" s="16">
        <f t="shared" si="11"/>
        <v>46242</v>
      </c>
      <c r="B221">
        <f>COUNTIFS('2025'!G:G,"&lt;="&amp;A221,'2025'!H:H,"&gt;="&amp;A221)</f>
        <v>1</v>
      </c>
      <c r="C221">
        <f t="shared" si="9"/>
        <v>5</v>
      </c>
      <c r="D221" t="str">
        <f t="shared" si="10"/>
        <v>AVAILABLE</v>
      </c>
    </row>
    <row r="222" spans="1:4" x14ac:dyDescent="0.3">
      <c r="A222" s="16">
        <f t="shared" si="11"/>
        <v>46243</v>
      </c>
      <c r="B222">
        <f>COUNTIFS('2025'!G:G,"&lt;="&amp;A222,'2025'!H:H,"&gt;="&amp;A222)</f>
        <v>1</v>
      </c>
      <c r="C222">
        <f t="shared" si="9"/>
        <v>5</v>
      </c>
      <c r="D222" t="str">
        <f t="shared" si="10"/>
        <v>AVAILABLE</v>
      </c>
    </row>
    <row r="223" spans="1:4" x14ac:dyDescent="0.3">
      <c r="A223" s="16">
        <f t="shared" si="11"/>
        <v>46244</v>
      </c>
      <c r="B223">
        <f>COUNTIFS('2025'!G:G,"&lt;="&amp;A223,'2025'!H:H,"&gt;="&amp;A223)</f>
        <v>1</v>
      </c>
      <c r="C223">
        <f t="shared" si="9"/>
        <v>5</v>
      </c>
      <c r="D223" t="str">
        <f t="shared" si="10"/>
        <v>AVAILABLE</v>
      </c>
    </row>
    <row r="224" spans="1:4" x14ac:dyDescent="0.3">
      <c r="A224" s="16">
        <f t="shared" si="11"/>
        <v>46245</v>
      </c>
      <c r="B224">
        <f>COUNTIFS('2025'!G:G,"&lt;="&amp;A224,'2025'!H:H,"&gt;="&amp;A224)</f>
        <v>0</v>
      </c>
      <c r="C224">
        <f t="shared" si="9"/>
        <v>6</v>
      </c>
      <c r="D224" t="str">
        <f t="shared" si="10"/>
        <v>AVAILABLE</v>
      </c>
    </row>
    <row r="225" spans="1:4" x14ac:dyDescent="0.3">
      <c r="A225" s="16">
        <f t="shared" si="11"/>
        <v>46246</v>
      </c>
      <c r="B225">
        <f>COUNTIFS('2025'!G:G,"&lt;="&amp;A225,'2025'!H:H,"&gt;="&amp;A225)</f>
        <v>0</v>
      </c>
      <c r="C225">
        <f t="shared" si="9"/>
        <v>6</v>
      </c>
      <c r="D225" t="str">
        <f t="shared" si="10"/>
        <v>AVAILABLE</v>
      </c>
    </row>
    <row r="226" spans="1:4" x14ac:dyDescent="0.3">
      <c r="A226" s="16">
        <f t="shared" si="11"/>
        <v>46247</v>
      </c>
      <c r="B226">
        <f>COUNTIFS('2025'!G:G,"&lt;="&amp;A226,'2025'!H:H,"&gt;="&amp;A226)</f>
        <v>0</v>
      </c>
      <c r="C226">
        <f t="shared" si="9"/>
        <v>6</v>
      </c>
      <c r="D226" t="str">
        <f t="shared" si="10"/>
        <v>AVAILABLE</v>
      </c>
    </row>
    <row r="227" spans="1:4" x14ac:dyDescent="0.3">
      <c r="A227" s="16">
        <f t="shared" si="11"/>
        <v>46248</v>
      </c>
      <c r="B227">
        <f>COUNTIFS('2025'!G:G,"&lt;="&amp;A227,'2025'!H:H,"&gt;="&amp;A227)</f>
        <v>0</v>
      </c>
      <c r="C227">
        <f t="shared" si="9"/>
        <v>6</v>
      </c>
      <c r="D227" t="str">
        <f t="shared" si="10"/>
        <v>AVAILABLE</v>
      </c>
    </row>
    <row r="228" spans="1:4" x14ac:dyDescent="0.3">
      <c r="A228" s="16">
        <f t="shared" si="11"/>
        <v>46249</v>
      </c>
      <c r="B228">
        <f>COUNTIFS('2025'!G:G,"&lt;="&amp;A228,'2025'!H:H,"&gt;="&amp;A228)</f>
        <v>0</v>
      </c>
      <c r="C228">
        <f t="shared" si="9"/>
        <v>6</v>
      </c>
      <c r="D228" t="str">
        <f t="shared" si="10"/>
        <v>AVAILABLE</v>
      </c>
    </row>
    <row r="229" spans="1:4" x14ac:dyDescent="0.3">
      <c r="A229" s="16">
        <f t="shared" si="11"/>
        <v>46250</v>
      </c>
      <c r="B229">
        <f>COUNTIFS('2025'!G:G,"&lt;="&amp;A229,'2025'!H:H,"&gt;="&amp;A229)</f>
        <v>0</v>
      </c>
      <c r="C229">
        <f t="shared" si="9"/>
        <v>6</v>
      </c>
      <c r="D229" t="str">
        <f t="shared" si="10"/>
        <v>AVAILABLE</v>
      </c>
    </row>
    <row r="230" spans="1:4" x14ac:dyDescent="0.3">
      <c r="A230" s="16">
        <f t="shared" si="11"/>
        <v>46251</v>
      </c>
      <c r="B230">
        <f>COUNTIFS('2025'!G:G,"&lt;="&amp;A230,'2025'!H:H,"&gt;="&amp;A230)</f>
        <v>0</v>
      </c>
      <c r="C230">
        <f t="shared" si="9"/>
        <v>6</v>
      </c>
      <c r="D230" t="str">
        <f t="shared" si="10"/>
        <v>AVAILABLE</v>
      </c>
    </row>
    <row r="231" spans="1:4" x14ac:dyDescent="0.3">
      <c r="A231" s="16">
        <f t="shared" si="11"/>
        <v>46252</v>
      </c>
      <c r="B231">
        <f>COUNTIFS('2025'!G:G,"&lt;="&amp;A231,'2025'!H:H,"&gt;="&amp;A231)</f>
        <v>0</v>
      </c>
      <c r="C231">
        <f t="shared" si="9"/>
        <v>6</v>
      </c>
      <c r="D231" t="str">
        <f t="shared" si="10"/>
        <v>AVAILABLE</v>
      </c>
    </row>
    <row r="232" spans="1:4" x14ac:dyDescent="0.3">
      <c r="A232" s="16">
        <f t="shared" si="11"/>
        <v>46253</v>
      </c>
      <c r="B232">
        <f>COUNTIFS('2025'!G:G,"&lt;="&amp;A232,'2025'!H:H,"&gt;="&amp;A232)</f>
        <v>0</v>
      </c>
      <c r="C232">
        <f t="shared" si="9"/>
        <v>6</v>
      </c>
      <c r="D232" t="str">
        <f t="shared" si="10"/>
        <v>AVAILABLE</v>
      </c>
    </row>
    <row r="233" spans="1:4" x14ac:dyDescent="0.3">
      <c r="A233" s="16">
        <f t="shared" si="11"/>
        <v>46254</v>
      </c>
      <c r="B233">
        <f>COUNTIFS('2025'!G:G,"&lt;="&amp;A233,'2025'!H:H,"&gt;="&amp;A233)</f>
        <v>0</v>
      </c>
      <c r="C233">
        <f t="shared" si="9"/>
        <v>6</v>
      </c>
      <c r="D233" t="str">
        <f t="shared" si="10"/>
        <v>AVAILABLE</v>
      </c>
    </row>
    <row r="234" spans="1:4" x14ac:dyDescent="0.3">
      <c r="A234" s="16">
        <f t="shared" si="11"/>
        <v>46255</v>
      </c>
      <c r="B234">
        <f>COUNTIFS('2025'!G:G,"&lt;="&amp;A234,'2025'!H:H,"&gt;="&amp;A234)</f>
        <v>0</v>
      </c>
      <c r="C234">
        <f t="shared" si="9"/>
        <v>6</v>
      </c>
      <c r="D234" t="str">
        <f t="shared" si="10"/>
        <v>AVAILABLE</v>
      </c>
    </row>
    <row r="235" spans="1:4" x14ac:dyDescent="0.3">
      <c r="A235" s="16">
        <f t="shared" si="11"/>
        <v>46256</v>
      </c>
      <c r="B235">
        <f>COUNTIFS('2025'!G:G,"&lt;="&amp;A235,'2025'!H:H,"&gt;="&amp;A235)</f>
        <v>0</v>
      </c>
      <c r="C235">
        <f t="shared" si="9"/>
        <v>6</v>
      </c>
      <c r="D235" t="str">
        <f t="shared" si="10"/>
        <v>AVAILABLE</v>
      </c>
    </row>
    <row r="236" spans="1:4" x14ac:dyDescent="0.3">
      <c r="A236" s="16">
        <f t="shared" si="11"/>
        <v>46257</v>
      </c>
      <c r="B236">
        <f>COUNTIFS('2025'!G:G,"&lt;="&amp;A236,'2025'!H:H,"&gt;="&amp;A236)</f>
        <v>0</v>
      </c>
      <c r="C236">
        <f t="shared" si="9"/>
        <v>6</v>
      </c>
      <c r="D236" t="str">
        <f t="shared" si="10"/>
        <v>AVAILABLE</v>
      </c>
    </row>
    <row r="237" spans="1:4" x14ac:dyDescent="0.3">
      <c r="A237" s="16">
        <f t="shared" si="11"/>
        <v>46258</v>
      </c>
      <c r="B237">
        <f>COUNTIFS('2025'!G:G,"&lt;="&amp;A237,'2025'!H:H,"&gt;="&amp;A237)</f>
        <v>0</v>
      </c>
      <c r="C237">
        <f t="shared" si="9"/>
        <v>6</v>
      </c>
      <c r="D237" t="str">
        <f t="shared" si="10"/>
        <v>AVAILABLE</v>
      </c>
    </row>
    <row r="238" spans="1:4" x14ac:dyDescent="0.3">
      <c r="A238" s="16">
        <f t="shared" si="11"/>
        <v>46259</v>
      </c>
      <c r="B238">
        <f>COUNTIFS('2025'!G:G,"&lt;="&amp;A238,'2025'!H:H,"&gt;="&amp;A238)</f>
        <v>0</v>
      </c>
      <c r="C238">
        <f t="shared" si="9"/>
        <v>6</v>
      </c>
      <c r="D238" t="str">
        <f t="shared" si="10"/>
        <v>AVAILABLE</v>
      </c>
    </row>
    <row r="239" spans="1:4" x14ac:dyDescent="0.3">
      <c r="A239" s="16">
        <f t="shared" si="11"/>
        <v>46260</v>
      </c>
      <c r="B239">
        <f>COUNTIFS('2025'!G:G,"&lt;="&amp;A239,'2025'!H:H,"&gt;="&amp;A239)</f>
        <v>0</v>
      </c>
      <c r="C239">
        <f t="shared" si="9"/>
        <v>6</v>
      </c>
      <c r="D239" t="str">
        <f t="shared" si="10"/>
        <v>AVAILABLE</v>
      </c>
    </row>
    <row r="240" spans="1:4" x14ac:dyDescent="0.3">
      <c r="A240" s="16">
        <f t="shared" si="11"/>
        <v>46261</v>
      </c>
      <c r="B240">
        <f>COUNTIFS('2025'!G:G,"&lt;="&amp;A240,'2025'!H:H,"&gt;="&amp;A240)</f>
        <v>0</v>
      </c>
      <c r="C240">
        <f t="shared" si="9"/>
        <v>6</v>
      </c>
      <c r="D240" t="str">
        <f t="shared" si="10"/>
        <v>AVAILABLE</v>
      </c>
    </row>
    <row r="241" spans="1:4" x14ac:dyDescent="0.3">
      <c r="A241" s="16">
        <f t="shared" si="11"/>
        <v>46262</v>
      </c>
      <c r="B241">
        <f>COUNTIFS('2025'!G:G,"&lt;="&amp;A241,'2025'!H:H,"&gt;="&amp;A241)</f>
        <v>0</v>
      </c>
      <c r="C241">
        <f t="shared" si="9"/>
        <v>6</v>
      </c>
      <c r="D241" t="str">
        <f t="shared" si="10"/>
        <v>AVAILABLE</v>
      </c>
    </row>
    <row r="242" spans="1:4" x14ac:dyDescent="0.3">
      <c r="A242" s="16">
        <f t="shared" si="11"/>
        <v>46263</v>
      </c>
      <c r="B242">
        <f>COUNTIFS('2025'!G:G,"&lt;="&amp;A242,'2025'!H:H,"&gt;="&amp;A242)</f>
        <v>0</v>
      </c>
      <c r="C242">
        <f t="shared" si="9"/>
        <v>6</v>
      </c>
      <c r="D242" t="str">
        <f t="shared" si="10"/>
        <v>AVAILABLE</v>
      </c>
    </row>
    <row r="243" spans="1:4" x14ac:dyDescent="0.3">
      <c r="A243" s="16">
        <f t="shared" si="11"/>
        <v>46264</v>
      </c>
      <c r="B243">
        <f>COUNTIFS('2025'!G:G,"&lt;="&amp;A243,'2025'!H:H,"&gt;="&amp;A243)</f>
        <v>0</v>
      </c>
      <c r="C243">
        <f t="shared" si="9"/>
        <v>6</v>
      </c>
      <c r="D243" t="str">
        <f t="shared" si="10"/>
        <v>AVAILABLE</v>
      </c>
    </row>
    <row r="244" spans="1:4" x14ac:dyDescent="0.3">
      <c r="A244" s="16">
        <f t="shared" si="11"/>
        <v>46265</v>
      </c>
      <c r="B244">
        <f>COUNTIFS('2025'!G:G,"&lt;="&amp;A244,'2025'!H:H,"&gt;="&amp;A244)</f>
        <v>0</v>
      </c>
      <c r="C244">
        <f t="shared" si="9"/>
        <v>6</v>
      </c>
      <c r="D244" t="str">
        <f t="shared" si="10"/>
        <v>AVAILABLE</v>
      </c>
    </row>
    <row r="245" spans="1:4" x14ac:dyDescent="0.3">
      <c r="A245" s="16">
        <f t="shared" si="11"/>
        <v>46266</v>
      </c>
      <c r="B245">
        <f>COUNTIFS('2025'!G:G,"&lt;="&amp;A245,'2025'!H:H,"&gt;="&amp;A245)</f>
        <v>0</v>
      </c>
      <c r="C245">
        <f t="shared" si="9"/>
        <v>6</v>
      </c>
      <c r="D245" t="str">
        <f t="shared" si="10"/>
        <v>AVAILABLE</v>
      </c>
    </row>
    <row r="246" spans="1:4" x14ac:dyDescent="0.3">
      <c r="A246" s="16">
        <f t="shared" si="11"/>
        <v>46267</v>
      </c>
      <c r="B246">
        <f>COUNTIFS('2025'!G:G,"&lt;="&amp;A246,'2025'!H:H,"&gt;="&amp;A246)</f>
        <v>0</v>
      </c>
      <c r="C246">
        <f t="shared" si="9"/>
        <v>6</v>
      </c>
      <c r="D246" t="str">
        <f t="shared" si="10"/>
        <v>AVAILABLE</v>
      </c>
    </row>
    <row r="247" spans="1:4" x14ac:dyDescent="0.3">
      <c r="A247" s="16">
        <f t="shared" si="11"/>
        <v>46268</v>
      </c>
      <c r="B247">
        <f>COUNTIFS('2025'!G:G,"&lt;="&amp;A247,'2025'!H:H,"&gt;="&amp;A247)</f>
        <v>0</v>
      </c>
      <c r="C247">
        <f t="shared" si="9"/>
        <v>6</v>
      </c>
      <c r="D247" t="str">
        <f t="shared" si="10"/>
        <v>AVAILABLE</v>
      </c>
    </row>
    <row r="248" spans="1:4" x14ac:dyDescent="0.3">
      <c r="A248" s="16">
        <f t="shared" si="11"/>
        <v>46269</v>
      </c>
      <c r="B248">
        <f>COUNTIFS('2025'!G:G,"&lt;="&amp;A248,'2025'!H:H,"&gt;="&amp;A248)</f>
        <v>0</v>
      </c>
      <c r="C248">
        <f t="shared" si="9"/>
        <v>6</v>
      </c>
      <c r="D248" t="str">
        <f t="shared" si="10"/>
        <v>AVAILABLE</v>
      </c>
    </row>
    <row r="249" spans="1:4" x14ac:dyDescent="0.3">
      <c r="A249" s="16">
        <f t="shared" si="11"/>
        <v>46270</v>
      </c>
      <c r="B249">
        <f>COUNTIFS('2025'!G:G,"&lt;="&amp;A249,'2025'!H:H,"&gt;="&amp;A249)</f>
        <v>1</v>
      </c>
      <c r="C249">
        <f t="shared" si="9"/>
        <v>5</v>
      </c>
      <c r="D249" t="str">
        <f t="shared" si="10"/>
        <v>AVAILABLE</v>
      </c>
    </row>
    <row r="250" spans="1:4" x14ac:dyDescent="0.3">
      <c r="A250" s="16">
        <f t="shared" si="11"/>
        <v>46271</v>
      </c>
      <c r="B250">
        <f>COUNTIFS('2025'!G:G,"&lt;="&amp;A250,'2025'!H:H,"&gt;="&amp;A250)</f>
        <v>1</v>
      </c>
      <c r="C250">
        <f t="shared" si="9"/>
        <v>5</v>
      </c>
      <c r="D250" t="str">
        <f t="shared" si="10"/>
        <v>AVAILABLE</v>
      </c>
    </row>
    <row r="251" spans="1:4" x14ac:dyDescent="0.3">
      <c r="A251" s="16">
        <f t="shared" si="11"/>
        <v>46272</v>
      </c>
      <c r="B251">
        <f>COUNTIFS('2025'!G:G,"&lt;="&amp;A251,'2025'!H:H,"&gt;="&amp;A251)</f>
        <v>1</v>
      </c>
      <c r="C251">
        <f t="shared" si="9"/>
        <v>5</v>
      </c>
      <c r="D251" t="str">
        <f t="shared" si="10"/>
        <v>AVAILABLE</v>
      </c>
    </row>
    <row r="252" spans="1:4" x14ac:dyDescent="0.3">
      <c r="A252" s="16">
        <f t="shared" si="11"/>
        <v>46273</v>
      </c>
      <c r="B252">
        <f>COUNTIFS('2025'!G:G,"&lt;="&amp;A252,'2025'!H:H,"&gt;="&amp;A252)</f>
        <v>1</v>
      </c>
      <c r="C252">
        <f t="shared" si="9"/>
        <v>5</v>
      </c>
      <c r="D252" t="str">
        <f t="shared" si="10"/>
        <v>AVAILABLE</v>
      </c>
    </row>
    <row r="253" spans="1:4" x14ac:dyDescent="0.3">
      <c r="A253" s="16">
        <f t="shared" si="11"/>
        <v>46274</v>
      </c>
      <c r="B253">
        <f>COUNTIFS('2025'!G:G,"&lt;="&amp;A253,'2025'!H:H,"&gt;="&amp;A253)</f>
        <v>1</v>
      </c>
      <c r="C253">
        <f t="shared" si="9"/>
        <v>5</v>
      </c>
      <c r="D253" t="str">
        <f t="shared" si="10"/>
        <v>AVAILABLE</v>
      </c>
    </row>
    <row r="254" spans="1:4" x14ac:dyDescent="0.3">
      <c r="A254" s="16">
        <f t="shared" si="11"/>
        <v>46275</v>
      </c>
      <c r="B254">
        <f>COUNTIFS('2025'!G:G,"&lt;="&amp;A254,'2025'!H:H,"&gt;="&amp;A254)</f>
        <v>1</v>
      </c>
      <c r="C254">
        <f t="shared" si="9"/>
        <v>5</v>
      </c>
      <c r="D254" t="str">
        <f t="shared" si="10"/>
        <v>AVAILABLE</v>
      </c>
    </row>
    <row r="255" spans="1:4" x14ac:dyDescent="0.3">
      <c r="A255" s="16">
        <f t="shared" si="11"/>
        <v>46276</v>
      </c>
      <c r="B255">
        <f>COUNTIFS('2025'!G:G,"&lt;="&amp;A255,'2025'!H:H,"&gt;="&amp;A255)</f>
        <v>1</v>
      </c>
      <c r="C255">
        <f t="shared" si="9"/>
        <v>5</v>
      </c>
      <c r="D255" t="str">
        <f t="shared" si="10"/>
        <v>AVAILABLE</v>
      </c>
    </row>
    <row r="256" spans="1:4" x14ac:dyDescent="0.3">
      <c r="A256" s="16">
        <f t="shared" si="11"/>
        <v>46277</v>
      </c>
      <c r="B256">
        <f>COUNTIFS('2025'!G:G,"&lt;="&amp;A256,'2025'!H:H,"&gt;="&amp;A256)</f>
        <v>2</v>
      </c>
      <c r="C256">
        <f t="shared" si="9"/>
        <v>4</v>
      </c>
      <c r="D256" t="str">
        <f t="shared" si="10"/>
        <v>AVAILABLE</v>
      </c>
    </row>
    <row r="257" spans="1:4" x14ac:dyDescent="0.3">
      <c r="A257" s="16">
        <f t="shared" si="11"/>
        <v>46278</v>
      </c>
      <c r="B257">
        <f>COUNTIFS('2025'!G:G,"&lt;="&amp;A257,'2025'!H:H,"&gt;="&amp;A257)</f>
        <v>2</v>
      </c>
      <c r="C257">
        <f t="shared" si="9"/>
        <v>4</v>
      </c>
      <c r="D257" t="str">
        <f t="shared" si="10"/>
        <v>AVAILABLE</v>
      </c>
    </row>
    <row r="258" spans="1:4" x14ac:dyDescent="0.3">
      <c r="A258" s="16">
        <f t="shared" si="11"/>
        <v>46279</v>
      </c>
      <c r="B258">
        <f>COUNTIFS('2025'!G:G,"&lt;="&amp;A258,'2025'!H:H,"&gt;="&amp;A258)</f>
        <v>1</v>
      </c>
      <c r="C258">
        <f t="shared" si="9"/>
        <v>5</v>
      </c>
      <c r="D258" t="str">
        <f t="shared" si="10"/>
        <v>AVAILABLE</v>
      </c>
    </row>
    <row r="259" spans="1:4" x14ac:dyDescent="0.3">
      <c r="A259" s="16">
        <f t="shared" si="11"/>
        <v>46280</v>
      </c>
      <c r="B259">
        <f>COUNTIFS('2025'!G:G,"&lt;="&amp;A259,'2025'!H:H,"&gt;="&amp;A259)</f>
        <v>1</v>
      </c>
      <c r="C259">
        <f t="shared" ref="C259:C322" si="12">$G$1-B259</f>
        <v>5</v>
      </c>
      <c r="D259" t="str">
        <f t="shared" ref="D259:D322" si="13">IF(C259&lt;0,"OVERBOOKED",IF(C259=0,"FULL","AVAILABLE"))</f>
        <v>AVAILABLE</v>
      </c>
    </row>
    <row r="260" spans="1:4" x14ac:dyDescent="0.3">
      <c r="A260" s="16">
        <f t="shared" ref="A260:A323" si="14">A259+1</f>
        <v>46281</v>
      </c>
      <c r="B260">
        <f>COUNTIFS('2025'!G:G,"&lt;="&amp;A260,'2025'!H:H,"&gt;="&amp;A260)</f>
        <v>1</v>
      </c>
      <c r="C260">
        <f t="shared" si="12"/>
        <v>5</v>
      </c>
      <c r="D260" t="str">
        <f t="shared" si="13"/>
        <v>AVAILABLE</v>
      </c>
    </row>
    <row r="261" spans="1:4" x14ac:dyDescent="0.3">
      <c r="A261" s="16">
        <f t="shared" si="14"/>
        <v>46282</v>
      </c>
      <c r="B261">
        <f>COUNTIFS('2025'!G:G,"&lt;="&amp;A261,'2025'!H:H,"&gt;="&amp;A261)</f>
        <v>1</v>
      </c>
      <c r="C261">
        <f t="shared" si="12"/>
        <v>5</v>
      </c>
      <c r="D261" t="str">
        <f t="shared" si="13"/>
        <v>AVAILABLE</v>
      </c>
    </row>
    <row r="262" spans="1:4" x14ac:dyDescent="0.3">
      <c r="A262" s="16">
        <f t="shared" si="14"/>
        <v>46283</v>
      </c>
      <c r="B262">
        <f>COUNTIFS('2025'!G:G,"&lt;="&amp;A262,'2025'!H:H,"&gt;="&amp;A262)</f>
        <v>1</v>
      </c>
      <c r="C262">
        <f t="shared" si="12"/>
        <v>5</v>
      </c>
      <c r="D262" t="str">
        <f t="shared" si="13"/>
        <v>AVAILABLE</v>
      </c>
    </row>
    <row r="263" spans="1:4" x14ac:dyDescent="0.3">
      <c r="A263" s="16">
        <f t="shared" si="14"/>
        <v>46284</v>
      </c>
      <c r="B263">
        <f>COUNTIFS('2025'!G:G,"&lt;="&amp;A263,'2025'!H:H,"&gt;="&amp;A263)</f>
        <v>1</v>
      </c>
      <c r="C263">
        <f t="shared" si="12"/>
        <v>5</v>
      </c>
      <c r="D263" t="str">
        <f t="shared" si="13"/>
        <v>AVAILABLE</v>
      </c>
    </row>
    <row r="264" spans="1:4" x14ac:dyDescent="0.3">
      <c r="A264" s="16">
        <f t="shared" si="14"/>
        <v>46285</v>
      </c>
      <c r="B264">
        <f>COUNTIFS('2025'!G:G,"&lt;="&amp;A264,'2025'!H:H,"&gt;="&amp;A264)</f>
        <v>1</v>
      </c>
      <c r="C264">
        <f t="shared" si="12"/>
        <v>5</v>
      </c>
      <c r="D264" t="str">
        <f t="shared" si="13"/>
        <v>AVAILABLE</v>
      </c>
    </row>
    <row r="265" spans="1:4" x14ac:dyDescent="0.3">
      <c r="A265" s="16">
        <f t="shared" si="14"/>
        <v>46286</v>
      </c>
      <c r="B265">
        <f>COUNTIFS('2025'!G:G,"&lt;="&amp;A265,'2025'!H:H,"&gt;="&amp;A265)</f>
        <v>1</v>
      </c>
      <c r="C265">
        <f t="shared" si="12"/>
        <v>5</v>
      </c>
      <c r="D265" t="str">
        <f t="shared" si="13"/>
        <v>AVAILABLE</v>
      </c>
    </row>
    <row r="266" spans="1:4" x14ac:dyDescent="0.3">
      <c r="A266" s="16">
        <f t="shared" si="14"/>
        <v>46287</v>
      </c>
      <c r="B266">
        <f>COUNTIFS('2025'!G:G,"&lt;="&amp;A266,'2025'!H:H,"&gt;="&amp;A266)</f>
        <v>0</v>
      </c>
      <c r="C266">
        <f t="shared" si="12"/>
        <v>6</v>
      </c>
      <c r="D266" t="str">
        <f t="shared" si="13"/>
        <v>AVAILABLE</v>
      </c>
    </row>
    <row r="267" spans="1:4" x14ac:dyDescent="0.3">
      <c r="A267" s="16">
        <f t="shared" si="14"/>
        <v>46288</v>
      </c>
      <c r="B267">
        <f>COUNTIFS('2025'!G:G,"&lt;="&amp;A267,'2025'!H:H,"&gt;="&amp;A267)</f>
        <v>0</v>
      </c>
      <c r="C267">
        <f t="shared" si="12"/>
        <v>6</v>
      </c>
      <c r="D267" t="str">
        <f t="shared" si="13"/>
        <v>AVAILABLE</v>
      </c>
    </row>
    <row r="268" spans="1:4" x14ac:dyDescent="0.3">
      <c r="A268" s="16">
        <f t="shared" si="14"/>
        <v>46289</v>
      </c>
      <c r="B268">
        <f>COUNTIFS('2025'!G:G,"&lt;="&amp;A268,'2025'!H:H,"&gt;="&amp;A268)</f>
        <v>0</v>
      </c>
      <c r="C268">
        <f t="shared" si="12"/>
        <v>6</v>
      </c>
      <c r="D268" t="str">
        <f t="shared" si="13"/>
        <v>AVAILABLE</v>
      </c>
    </row>
    <row r="269" spans="1:4" x14ac:dyDescent="0.3">
      <c r="A269" s="16">
        <f t="shared" si="14"/>
        <v>46290</v>
      </c>
      <c r="B269">
        <f>COUNTIFS('2025'!G:G,"&lt;="&amp;A269,'2025'!H:H,"&gt;="&amp;A269)</f>
        <v>0</v>
      </c>
      <c r="C269">
        <f t="shared" si="12"/>
        <v>6</v>
      </c>
      <c r="D269" t="str">
        <f t="shared" si="13"/>
        <v>AVAILABLE</v>
      </c>
    </row>
    <row r="270" spans="1:4" x14ac:dyDescent="0.3">
      <c r="A270" s="16">
        <f t="shared" si="14"/>
        <v>46291</v>
      </c>
      <c r="B270">
        <f>COUNTIFS('2025'!G:G,"&lt;="&amp;A270,'2025'!H:H,"&gt;="&amp;A270)</f>
        <v>0</v>
      </c>
      <c r="C270">
        <f t="shared" si="12"/>
        <v>6</v>
      </c>
      <c r="D270" t="str">
        <f t="shared" si="13"/>
        <v>AVAILABLE</v>
      </c>
    </row>
    <row r="271" spans="1:4" x14ac:dyDescent="0.3">
      <c r="A271" s="16">
        <f t="shared" si="14"/>
        <v>46292</v>
      </c>
      <c r="B271">
        <f>COUNTIFS('2025'!G:G,"&lt;="&amp;A271,'2025'!H:H,"&gt;="&amp;A271)</f>
        <v>0</v>
      </c>
      <c r="C271">
        <f t="shared" si="12"/>
        <v>6</v>
      </c>
      <c r="D271" t="str">
        <f t="shared" si="13"/>
        <v>AVAILABLE</v>
      </c>
    </row>
    <row r="272" spans="1:4" x14ac:dyDescent="0.3">
      <c r="A272" s="16">
        <f t="shared" si="14"/>
        <v>46293</v>
      </c>
      <c r="B272">
        <f>COUNTIFS('2025'!G:G,"&lt;="&amp;A272,'2025'!H:H,"&gt;="&amp;A272)</f>
        <v>0</v>
      </c>
      <c r="C272">
        <f t="shared" si="12"/>
        <v>6</v>
      </c>
      <c r="D272" t="str">
        <f t="shared" si="13"/>
        <v>AVAILABLE</v>
      </c>
    </row>
    <row r="273" spans="1:4" x14ac:dyDescent="0.3">
      <c r="A273" s="16">
        <f t="shared" si="14"/>
        <v>46294</v>
      </c>
      <c r="B273">
        <f>COUNTIFS('2025'!G:G,"&lt;="&amp;A273,'2025'!H:H,"&gt;="&amp;A273)</f>
        <v>0</v>
      </c>
      <c r="C273">
        <f t="shared" si="12"/>
        <v>6</v>
      </c>
      <c r="D273" t="str">
        <f t="shared" si="13"/>
        <v>AVAILABLE</v>
      </c>
    </row>
    <row r="274" spans="1:4" x14ac:dyDescent="0.3">
      <c r="A274" s="16">
        <f t="shared" si="14"/>
        <v>46295</v>
      </c>
      <c r="B274">
        <f>COUNTIFS('2025'!G:G,"&lt;="&amp;A274,'2025'!H:H,"&gt;="&amp;A274)</f>
        <v>0</v>
      </c>
      <c r="C274">
        <f t="shared" si="12"/>
        <v>6</v>
      </c>
      <c r="D274" t="str">
        <f t="shared" si="13"/>
        <v>AVAILABLE</v>
      </c>
    </row>
    <row r="275" spans="1:4" x14ac:dyDescent="0.3">
      <c r="A275" s="16">
        <f t="shared" si="14"/>
        <v>46296</v>
      </c>
      <c r="B275">
        <f>COUNTIFS('2025'!G:G,"&lt;="&amp;A275,'2025'!H:H,"&gt;="&amp;A275)</f>
        <v>0</v>
      </c>
      <c r="C275">
        <f t="shared" si="12"/>
        <v>6</v>
      </c>
      <c r="D275" t="str">
        <f t="shared" si="13"/>
        <v>AVAILABLE</v>
      </c>
    </row>
    <row r="276" spans="1:4" x14ac:dyDescent="0.3">
      <c r="A276" s="16">
        <f t="shared" si="14"/>
        <v>46297</v>
      </c>
      <c r="B276">
        <f>COUNTIFS('2025'!G:G,"&lt;="&amp;A276,'2025'!H:H,"&gt;="&amp;A276)</f>
        <v>0</v>
      </c>
      <c r="C276">
        <f t="shared" si="12"/>
        <v>6</v>
      </c>
      <c r="D276" t="str">
        <f t="shared" si="13"/>
        <v>AVAILABLE</v>
      </c>
    </row>
    <row r="277" spans="1:4" x14ac:dyDescent="0.3">
      <c r="A277" s="16">
        <f t="shared" si="14"/>
        <v>46298</v>
      </c>
      <c r="B277">
        <f>COUNTIFS('2025'!G:G,"&lt;="&amp;A277,'2025'!H:H,"&gt;="&amp;A277)</f>
        <v>0</v>
      </c>
      <c r="C277">
        <f t="shared" si="12"/>
        <v>6</v>
      </c>
      <c r="D277" t="str">
        <f t="shared" si="13"/>
        <v>AVAILABLE</v>
      </c>
    </row>
    <row r="278" spans="1:4" x14ac:dyDescent="0.3">
      <c r="A278" s="16">
        <f t="shared" si="14"/>
        <v>46299</v>
      </c>
      <c r="B278">
        <f>COUNTIFS('2025'!G:G,"&lt;="&amp;A278,'2025'!H:H,"&gt;="&amp;A278)</f>
        <v>0</v>
      </c>
      <c r="C278">
        <f t="shared" si="12"/>
        <v>6</v>
      </c>
      <c r="D278" t="str">
        <f t="shared" si="13"/>
        <v>AVAILABLE</v>
      </c>
    </row>
    <row r="279" spans="1:4" x14ac:dyDescent="0.3">
      <c r="A279" s="16">
        <f t="shared" si="14"/>
        <v>46300</v>
      </c>
      <c r="B279">
        <f>COUNTIFS('2025'!G:G,"&lt;="&amp;A279,'2025'!H:H,"&gt;="&amp;A279)</f>
        <v>0</v>
      </c>
      <c r="C279">
        <f t="shared" si="12"/>
        <v>6</v>
      </c>
      <c r="D279" t="str">
        <f t="shared" si="13"/>
        <v>AVAILABLE</v>
      </c>
    </row>
    <row r="280" spans="1:4" x14ac:dyDescent="0.3">
      <c r="A280" s="16">
        <f t="shared" si="14"/>
        <v>46301</v>
      </c>
      <c r="B280">
        <f>COUNTIFS('2025'!G:G,"&lt;="&amp;A280,'2025'!H:H,"&gt;="&amp;A280)</f>
        <v>0</v>
      </c>
      <c r="C280">
        <f t="shared" si="12"/>
        <v>6</v>
      </c>
      <c r="D280" t="str">
        <f t="shared" si="13"/>
        <v>AVAILABLE</v>
      </c>
    </row>
    <row r="281" spans="1:4" x14ac:dyDescent="0.3">
      <c r="A281" s="16">
        <f t="shared" si="14"/>
        <v>46302</v>
      </c>
      <c r="B281">
        <f>COUNTIFS('2025'!G:G,"&lt;="&amp;A281,'2025'!H:H,"&gt;="&amp;A281)</f>
        <v>0</v>
      </c>
      <c r="C281">
        <f t="shared" si="12"/>
        <v>6</v>
      </c>
      <c r="D281" t="str">
        <f t="shared" si="13"/>
        <v>AVAILABLE</v>
      </c>
    </row>
    <row r="282" spans="1:4" x14ac:dyDescent="0.3">
      <c r="A282" s="16">
        <f t="shared" si="14"/>
        <v>46303</v>
      </c>
      <c r="B282">
        <f>COUNTIFS('2025'!G:G,"&lt;="&amp;A282,'2025'!H:H,"&gt;="&amp;A282)</f>
        <v>0</v>
      </c>
      <c r="C282">
        <f t="shared" si="12"/>
        <v>6</v>
      </c>
      <c r="D282" t="str">
        <f t="shared" si="13"/>
        <v>AVAILABLE</v>
      </c>
    </row>
    <row r="283" spans="1:4" x14ac:dyDescent="0.3">
      <c r="A283" s="16">
        <f t="shared" si="14"/>
        <v>46304</v>
      </c>
      <c r="B283">
        <f>COUNTIFS('2025'!G:G,"&lt;="&amp;A283,'2025'!H:H,"&gt;="&amp;A283)</f>
        <v>0</v>
      </c>
      <c r="C283">
        <f t="shared" si="12"/>
        <v>6</v>
      </c>
      <c r="D283" t="str">
        <f t="shared" si="13"/>
        <v>AVAILABLE</v>
      </c>
    </row>
    <row r="284" spans="1:4" x14ac:dyDescent="0.3">
      <c r="A284" s="16">
        <f t="shared" si="14"/>
        <v>46305</v>
      </c>
      <c r="B284">
        <f>COUNTIFS('2025'!G:G,"&lt;="&amp;A284,'2025'!H:H,"&gt;="&amp;A284)</f>
        <v>0</v>
      </c>
      <c r="C284">
        <f t="shared" si="12"/>
        <v>6</v>
      </c>
      <c r="D284" t="str">
        <f t="shared" si="13"/>
        <v>AVAILABLE</v>
      </c>
    </row>
    <row r="285" spans="1:4" x14ac:dyDescent="0.3">
      <c r="A285" s="16">
        <f t="shared" si="14"/>
        <v>46306</v>
      </c>
      <c r="B285">
        <f>COUNTIFS('2025'!G:G,"&lt;="&amp;A285,'2025'!H:H,"&gt;="&amp;A285)</f>
        <v>0</v>
      </c>
      <c r="C285">
        <f t="shared" si="12"/>
        <v>6</v>
      </c>
      <c r="D285" t="str">
        <f t="shared" si="13"/>
        <v>AVAILABLE</v>
      </c>
    </row>
    <row r="286" spans="1:4" x14ac:dyDescent="0.3">
      <c r="A286" s="16">
        <f t="shared" si="14"/>
        <v>46307</v>
      </c>
      <c r="B286">
        <f>COUNTIFS('2025'!G:G,"&lt;="&amp;A286,'2025'!H:H,"&gt;="&amp;A286)</f>
        <v>0</v>
      </c>
      <c r="C286">
        <f t="shared" si="12"/>
        <v>6</v>
      </c>
      <c r="D286" t="str">
        <f t="shared" si="13"/>
        <v>AVAILABLE</v>
      </c>
    </row>
    <row r="287" spans="1:4" x14ac:dyDescent="0.3">
      <c r="A287" s="16">
        <f t="shared" si="14"/>
        <v>46308</v>
      </c>
      <c r="B287">
        <f>COUNTIFS('2025'!G:G,"&lt;="&amp;A287,'2025'!H:H,"&gt;="&amp;A287)</f>
        <v>0</v>
      </c>
      <c r="C287">
        <f t="shared" si="12"/>
        <v>6</v>
      </c>
      <c r="D287" t="str">
        <f t="shared" si="13"/>
        <v>AVAILABLE</v>
      </c>
    </row>
    <row r="288" spans="1:4" x14ac:dyDescent="0.3">
      <c r="A288" s="16">
        <f t="shared" si="14"/>
        <v>46309</v>
      </c>
      <c r="B288">
        <f>COUNTIFS('2025'!G:G,"&lt;="&amp;A288,'2025'!H:H,"&gt;="&amp;A288)</f>
        <v>0</v>
      </c>
      <c r="C288">
        <f t="shared" si="12"/>
        <v>6</v>
      </c>
      <c r="D288" t="str">
        <f t="shared" si="13"/>
        <v>AVAILABLE</v>
      </c>
    </row>
    <row r="289" spans="1:4" x14ac:dyDescent="0.3">
      <c r="A289" s="16">
        <f t="shared" si="14"/>
        <v>46310</v>
      </c>
      <c r="B289">
        <f>COUNTIFS('2025'!G:G,"&lt;="&amp;A289,'2025'!H:H,"&gt;="&amp;A289)</f>
        <v>0</v>
      </c>
      <c r="C289">
        <f t="shared" si="12"/>
        <v>6</v>
      </c>
      <c r="D289" t="str">
        <f t="shared" si="13"/>
        <v>AVAILABLE</v>
      </c>
    </row>
    <row r="290" spans="1:4" x14ac:dyDescent="0.3">
      <c r="A290" s="16">
        <f t="shared" si="14"/>
        <v>46311</v>
      </c>
      <c r="B290">
        <f>COUNTIFS('2025'!G:G,"&lt;="&amp;A290,'2025'!H:H,"&gt;="&amp;A290)</f>
        <v>0</v>
      </c>
      <c r="C290">
        <f t="shared" si="12"/>
        <v>6</v>
      </c>
      <c r="D290" t="str">
        <f t="shared" si="13"/>
        <v>AVAILABLE</v>
      </c>
    </row>
    <row r="291" spans="1:4" x14ac:dyDescent="0.3">
      <c r="A291" s="16">
        <f t="shared" si="14"/>
        <v>46312</v>
      </c>
      <c r="B291">
        <f>COUNTIFS('2025'!G:G,"&lt;="&amp;A291,'2025'!H:H,"&gt;="&amp;A291)</f>
        <v>0</v>
      </c>
      <c r="C291">
        <f t="shared" si="12"/>
        <v>6</v>
      </c>
      <c r="D291" t="str">
        <f t="shared" si="13"/>
        <v>AVAILABLE</v>
      </c>
    </row>
    <row r="292" spans="1:4" x14ac:dyDescent="0.3">
      <c r="A292" s="16">
        <f t="shared" si="14"/>
        <v>46313</v>
      </c>
      <c r="B292">
        <f>COUNTIFS('2025'!G:G,"&lt;="&amp;A292,'2025'!H:H,"&gt;="&amp;A292)</f>
        <v>0</v>
      </c>
      <c r="C292">
        <f t="shared" si="12"/>
        <v>6</v>
      </c>
      <c r="D292" t="str">
        <f t="shared" si="13"/>
        <v>AVAILABLE</v>
      </c>
    </row>
    <row r="293" spans="1:4" x14ac:dyDescent="0.3">
      <c r="A293" s="16">
        <f t="shared" si="14"/>
        <v>46314</v>
      </c>
      <c r="B293">
        <f>COUNTIFS('2025'!G:G,"&lt;="&amp;A293,'2025'!H:H,"&gt;="&amp;A293)</f>
        <v>0</v>
      </c>
      <c r="C293">
        <f t="shared" si="12"/>
        <v>6</v>
      </c>
      <c r="D293" t="str">
        <f t="shared" si="13"/>
        <v>AVAILABLE</v>
      </c>
    </row>
    <row r="294" spans="1:4" x14ac:dyDescent="0.3">
      <c r="A294" s="16">
        <f t="shared" si="14"/>
        <v>46315</v>
      </c>
      <c r="B294">
        <f>COUNTIFS('2025'!G:G,"&lt;="&amp;A294,'2025'!H:H,"&gt;="&amp;A294)</f>
        <v>0</v>
      </c>
      <c r="C294">
        <f t="shared" si="12"/>
        <v>6</v>
      </c>
      <c r="D294" t="str">
        <f t="shared" si="13"/>
        <v>AVAILABLE</v>
      </c>
    </row>
    <row r="295" spans="1:4" x14ac:dyDescent="0.3">
      <c r="A295" s="16">
        <f t="shared" si="14"/>
        <v>46316</v>
      </c>
      <c r="B295">
        <f>COUNTIFS('2025'!G:G,"&lt;="&amp;A295,'2025'!H:H,"&gt;="&amp;A295)</f>
        <v>0</v>
      </c>
      <c r="C295">
        <f t="shared" si="12"/>
        <v>6</v>
      </c>
      <c r="D295" t="str">
        <f t="shared" si="13"/>
        <v>AVAILABLE</v>
      </c>
    </row>
    <row r="296" spans="1:4" x14ac:dyDescent="0.3">
      <c r="A296" s="16">
        <f t="shared" si="14"/>
        <v>46317</v>
      </c>
      <c r="B296">
        <f>COUNTIFS('2025'!G:G,"&lt;="&amp;A296,'2025'!H:H,"&gt;="&amp;A296)</f>
        <v>0</v>
      </c>
      <c r="C296">
        <f t="shared" si="12"/>
        <v>6</v>
      </c>
      <c r="D296" t="str">
        <f t="shared" si="13"/>
        <v>AVAILABLE</v>
      </c>
    </row>
    <row r="297" spans="1:4" x14ac:dyDescent="0.3">
      <c r="A297" s="16">
        <f t="shared" si="14"/>
        <v>46318</v>
      </c>
      <c r="B297">
        <f>COUNTIFS('2025'!G:G,"&lt;="&amp;A297,'2025'!H:H,"&gt;="&amp;A297)</f>
        <v>0</v>
      </c>
      <c r="C297">
        <f t="shared" si="12"/>
        <v>6</v>
      </c>
      <c r="D297" t="str">
        <f t="shared" si="13"/>
        <v>AVAILABLE</v>
      </c>
    </row>
    <row r="298" spans="1:4" x14ac:dyDescent="0.3">
      <c r="A298" s="16">
        <f t="shared" si="14"/>
        <v>46319</v>
      </c>
      <c r="B298">
        <f>COUNTIFS('2025'!G:G,"&lt;="&amp;A298,'2025'!H:H,"&gt;="&amp;A298)</f>
        <v>0</v>
      </c>
      <c r="C298">
        <f t="shared" si="12"/>
        <v>6</v>
      </c>
      <c r="D298" t="str">
        <f t="shared" si="13"/>
        <v>AVAILABLE</v>
      </c>
    </row>
    <row r="299" spans="1:4" x14ac:dyDescent="0.3">
      <c r="A299" s="16">
        <f t="shared" si="14"/>
        <v>46320</v>
      </c>
      <c r="B299">
        <f>COUNTIFS('2025'!G:G,"&lt;="&amp;A299,'2025'!H:H,"&gt;="&amp;A299)</f>
        <v>0</v>
      </c>
      <c r="C299">
        <f t="shared" si="12"/>
        <v>6</v>
      </c>
      <c r="D299" t="str">
        <f t="shared" si="13"/>
        <v>AVAILABLE</v>
      </c>
    </row>
    <row r="300" spans="1:4" x14ac:dyDescent="0.3">
      <c r="A300" s="16">
        <f t="shared" si="14"/>
        <v>46321</v>
      </c>
      <c r="B300">
        <f>COUNTIFS('2025'!G:G,"&lt;="&amp;A300,'2025'!H:H,"&gt;="&amp;A300)</f>
        <v>0</v>
      </c>
      <c r="C300">
        <f t="shared" si="12"/>
        <v>6</v>
      </c>
      <c r="D300" t="str">
        <f t="shared" si="13"/>
        <v>AVAILABLE</v>
      </c>
    </row>
    <row r="301" spans="1:4" x14ac:dyDescent="0.3">
      <c r="A301" s="16">
        <f t="shared" si="14"/>
        <v>46322</v>
      </c>
      <c r="B301">
        <f>COUNTIFS('2025'!G:G,"&lt;="&amp;A301,'2025'!H:H,"&gt;="&amp;A301)</f>
        <v>0</v>
      </c>
      <c r="C301">
        <f t="shared" si="12"/>
        <v>6</v>
      </c>
      <c r="D301" t="str">
        <f t="shared" si="13"/>
        <v>AVAILABLE</v>
      </c>
    </row>
    <row r="302" spans="1:4" x14ac:dyDescent="0.3">
      <c r="A302" s="16">
        <f t="shared" si="14"/>
        <v>46323</v>
      </c>
      <c r="B302">
        <f>COUNTIFS('2025'!G:G,"&lt;="&amp;A302,'2025'!H:H,"&gt;="&amp;A302)</f>
        <v>0</v>
      </c>
      <c r="C302">
        <f t="shared" si="12"/>
        <v>6</v>
      </c>
      <c r="D302" t="str">
        <f t="shared" si="13"/>
        <v>AVAILABLE</v>
      </c>
    </row>
    <row r="303" spans="1:4" x14ac:dyDescent="0.3">
      <c r="A303" s="16">
        <f t="shared" si="14"/>
        <v>46324</v>
      </c>
      <c r="B303">
        <f>COUNTIFS('2025'!G:G,"&lt;="&amp;A303,'2025'!H:H,"&gt;="&amp;A303)</f>
        <v>0</v>
      </c>
      <c r="C303">
        <f t="shared" si="12"/>
        <v>6</v>
      </c>
      <c r="D303" t="str">
        <f t="shared" si="13"/>
        <v>AVAILABLE</v>
      </c>
    </row>
    <row r="304" spans="1:4" x14ac:dyDescent="0.3">
      <c r="A304" s="16">
        <f t="shared" si="14"/>
        <v>46325</v>
      </c>
      <c r="B304">
        <f>COUNTIFS('2025'!G:G,"&lt;="&amp;A304,'2025'!H:H,"&gt;="&amp;A304)</f>
        <v>0</v>
      </c>
      <c r="C304">
        <f t="shared" si="12"/>
        <v>6</v>
      </c>
      <c r="D304" t="str">
        <f t="shared" si="13"/>
        <v>AVAILABLE</v>
      </c>
    </row>
    <row r="305" spans="1:4" x14ac:dyDescent="0.3">
      <c r="A305" s="16">
        <f t="shared" si="14"/>
        <v>46326</v>
      </c>
      <c r="B305">
        <f>COUNTIFS('2025'!G:G,"&lt;="&amp;A305,'2025'!H:H,"&gt;="&amp;A305)</f>
        <v>0</v>
      </c>
      <c r="C305">
        <f t="shared" si="12"/>
        <v>6</v>
      </c>
      <c r="D305" t="str">
        <f t="shared" si="13"/>
        <v>AVAILABLE</v>
      </c>
    </row>
    <row r="306" spans="1:4" x14ac:dyDescent="0.3">
      <c r="A306" s="16">
        <f t="shared" si="14"/>
        <v>46327</v>
      </c>
      <c r="B306">
        <f>COUNTIFS('2025'!G:G,"&lt;="&amp;A306,'2025'!H:H,"&gt;="&amp;A306)</f>
        <v>0</v>
      </c>
      <c r="C306">
        <f t="shared" si="12"/>
        <v>6</v>
      </c>
      <c r="D306" t="str">
        <f t="shared" si="13"/>
        <v>AVAILABLE</v>
      </c>
    </row>
    <row r="307" spans="1:4" x14ac:dyDescent="0.3">
      <c r="A307" s="16">
        <f t="shared" si="14"/>
        <v>46328</v>
      </c>
      <c r="B307">
        <f>COUNTIFS('2025'!G:G,"&lt;="&amp;A307,'2025'!H:H,"&gt;="&amp;A307)</f>
        <v>0</v>
      </c>
      <c r="C307">
        <f t="shared" si="12"/>
        <v>6</v>
      </c>
      <c r="D307" t="str">
        <f t="shared" si="13"/>
        <v>AVAILABLE</v>
      </c>
    </row>
    <row r="308" spans="1:4" x14ac:dyDescent="0.3">
      <c r="A308" s="16">
        <f t="shared" si="14"/>
        <v>46329</v>
      </c>
      <c r="B308">
        <f>COUNTIFS('2025'!G:G,"&lt;="&amp;A308,'2025'!H:H,"&gt;="&amp;A308)</f>
        <v>0</v>
      </c>
      <c r="C308">
        <f t="shared" si="12"/>
        <v>6</v>
      </c>
      <c r="D308" t="str">
        <f t="shared" si="13"/>
        <v>AVAILABLE</v>
      </c>
    </row>
    <row r="309" spans="1:4" x14ac:dyDescent="0.3">
      <c r="A309" s="16">
        <f t="shared" si="14"/>
        <v>46330</v>
      </c>
      <c r="B309">
        <f>COUNTIFS('2025'!G:G,"&lt;="&amp;A309,'2025'!H:H,"&gt;="&amp;A309)</f>
        <v>0</v>
      </c>
      <c r="C309">
        <f t="shared" si="12"/>
        <v>6</v>
      </c>
      <c r="D309" t="str">
        <f t="shared" si="13"/>
        <v>AVAILABLE</v>
      </c>
    </row>
    <row r="310" spans="1:4" x14ac:dyDescent="0.3">
      <c r="A310" s="16">
        <f t="shared" si="14"/>
        <v>46331</v>
      </c>
      <c r="B310">
        <f>COUNTIFS('2025'!G:G,"&lt;="&amp;A310,'2025'!H:H,"&gt;="&amp;A310)</f>
        <v>0</v>
      </c>
      <c r="C310">
        <f t="shared" si="12"/>
        <v>6</v>
      </c>
      <c r="D310" t="str">
        <f t="shared" si="13"/>
        <v>AVAILABLE</v>
      </c>
    </row>
    <row r="311" spans="1:4" x14ac:dyDescent="0.3">
      <c r="A311" s="16">
        <f t="shared" si="14"/>
        <v>46332</v>
      </c>
      <c r="B311">
        <f>COUNTIFS('2025'!G:G,"&lt;="&amp;A311,'2025'!H:H,"&gt;="&amp;A311)</f>
        <v>0</v>
      </c>
      <c r="C311">
        <f t="shared" si="12"/>
        <v>6</v>
      </c>
      <c r="D311" t="str">
        <f t="shared" si="13"/>
        <v>AVAILABLE</v>
      </c>
    </row>
    <row r="312" spans="1:4" x14ac:dyDescent="0.3">
      <c r="A312" s="16">
        <f t="shared" si="14"/>
        <v>46333</v>
      </c>
      <c r="B312">
        <f>COUNTIFS('2025'!G:G,"&lt;="&amp;A312,'2025'!H:H,"&gt;="&amp;A312)</f>
        <v>0</v>
      </c>
      <c r="C312">
        <f t="shared" si="12"/>
        <v>6</v>
      </c>
      <c r="D312" t="str">
        <f t="shared" si="13"/>
        <v>AVAILABLE</v>
      </c>
    </row>
    <row r="313" spans="1:4" x14ac:dyDescent="0.3">
      <c r="A313" s="16">
        <f t="shared" si="14"/>
        <v>46334</v>
      </c>
      <c r="B313">
        <f>COUNTIFS('2025'!G:G,"&lt;="&amp;A313,'2025'!H:H,"&gt;="&amp;A313)</f>
        <v>0</v>
      </c>
      <c r="C313">
        <f t="shared" si="12"/>
        <v>6</v>
      </c>
      <c r="D313" t="str">
        <f t="shared" si="13"/>
        <v>AVAILABLE</v>
      </c>
    </row>
    <row r="314" spans="1:4" x14ac:dyDescent="0.3">
      <c r="A314" s="16">
        <f t="shared" si="14"/>
        <v>46335</v>
      </c>
      <c r="B314">
        <f>COUNTIFS('2025'!G:G,"&lt;="&amp;A314,'2025'!H:H,"&gt;="&amp;A314)</f>
        <v>0</v>
      </c>
      <c r="C314">
        <f t="shared" si="12"/>
        <v>6</v>
      </c>
      <c r="D314" t="str">
        <f t="shared" si="13"/>
        <v>AVAILABLE</v>
      </c>
    </row>
    <row r="315" spans="1:4" x14ac:dyDescent="0.3">
      <c r="A315" s="16">
        <f t="shared" si="14"/>
        <v>46336</v>
      </c>
      <c r="B315">
        <f>COUNTIFS('2025'!G:G,"&lt;="&amp;A315,'2025'!H:H,"&gt;="&amp;A315)</f>
        <v>0</v>
      </c>
      <c r="C315">
        <f t="shared" si="12"/>
        <v>6</v>
      </c>
      <c r="D315" t="str">
        <f t="shared" si="13"/>
        <v>AVAILABLE</v>
      </c>
    </row>
    <row r="316" spans="1:4" x14ac:dyDescent="0.3">
      <c r="A316" s="16">
        <f t="shared" si="14"/>
        <v>46337</v>
      </c>
      <c r="B316">
        <f>COUNTIFS('2025'!G:G,"&lt;="&amp;A316,'2025'!H:H,"&gt;="&amp;A316)</f>
        <v>0</v>
      </c>
      <c r="C316">
        <f t="shared" si="12"/>
        <v>6</v>
      </c>
      <c r="D316" t="str">
        <f t="shared" si="13"/>
        <v>AVAILABLE</v>
      </c>
    </row>
    <row r="317" spans="1:4" x14ac:dyDescent="0.3">
      <c r="A317" s="16">
        <f t="shared" si="14"/>
        <v>46338</v>
      </c>
      <c r="B317">
        <f>COUNTIFS('2025'!G:G,"&lt;="&amp;A317,'2025'!H:H,"&gt;="&amp;A317)</f>
        <v>0</v>
      </c>
      <c r="C317">
        <f t="shared" si="12"/>
        <v>6</v>
      </c>
      <c r="D317" t="str">
        <f t="shared" si="13"/>
        <v>AVAILABLE</v>
      </c>
    </row>
    <row r="318" spans="1:4" x14ac:dyDescent="0.3">
      <c r="A318" s="16">
        <f t="shared" si="14"/>
        <v>46339</v>
      </c>
      <c r="B318">
        <f>COUNTIFS('2025'!G:G,"&lt;="&amp;A318,'2025'!H:H,"&gt;="&amp;A318)</f>
        <v>0</v>
      </c>
      <c r="C318">
        <f t="shared" si="12"/>
        <v>6</v>
      </c>
      <c r="D318" t="str">
        <f t="shared" si="13"/>
        <v>AVAILABLE</v>
      </c>
    </row>
    <row r="319" spans="1:4" x14ac:dyDescent="0.3">
      <c r="A319" s="16">
        <f t="shared" si="14"/>
        <v>46340</v>
      </c>
      <c r="B319">
        <f>COUNTIFS('2025'!G:G,"&lt;="&amp;A319,'2025'!H:H,"&gt;="&amp;A319)</f>
        <v>0</v>
      </c>
      <c r="C319">
        <f t="shared" si="12"/>
        <v>6</v>
      </c>
      <c r="D319" t="str">
        <f t="shared" si="13"/>
        <v>AVAILABLE</v>
      </c>
    </row>
    <row r="320" spans="1:4" x14ac:dyDescent="0.3">
      <c r="A320" s="16">
        <f t="shared" si="14"/>
        <v>46341</v>
      </c>
      <c r="B320">
        <f>COUNTIFS('2025'!G:G,"&lt;="&amp;A320,'2025'!H:H,"&gt;="&amp;A320)</f>
        <v>0</v>
      </c>
      <c r="C320">
        <f t="shared" si="12"/>
        <v>6</v>
      </c>
      <c r="D320" t="str">
        <f t="shared" si="13"/>
        <v>AVAILABLE</v>
      </c>
    </row>
    <row r="321" spans="1:4" x14ac:dyDescent="0.3">
      <c r="A321" s="16">
        <f t="shared" si="14"/>
        <v>46342</v>
      </c>
      <c r="B321">
        <f>COUNTIFS('2025'!G:G,"&lt;="&amp;A321,'2025'!H:H,"&gt;="&amp;A321)</f>
        <v>0</v>
      </c>
      <c r="C321">
        <f t="shared" si="12"/>
        <v>6</v>
      </c>
      <c r="D321" t="str">
        <f t="shared" si="13"/>
        <v>AVAILABLE</v>
      </c>
    </row>
    <row r="322" spans="1:4" x14ac:dyDescent="0.3">
      <c r="A322" s="16">
        <f t="shared" si="14"/>
        <v>46343</v>
      </c>
      <c r="B322">
        <f>COUNTIFS('2025'!G:G,"&lt;="&amp;A322,'2025'!H:H,"&gt;="&amp;A322)</f>
        <v>0</v>
      </c>
      <c r="C322">
        <f t="shared" si="12"/>
        <v>6</v>
      </c>
      <c r="D322" t="str">
        <f t="shared" si="13"/>
        <v>AVAILABLE</v>
      </c>
    </row>
    <row r="323" spans="1:4" x14ac:dyDescent="0.3">
      <c r="A323" s="16">
        <f t="shared" si="14"/>
        <v>46344</v>
      </c>
      <c r="B323">
        <f>COUNTIFS('2025'!G:G,"&lt;="&amp;A323,'2025'!H:H,"&gt;="&amp;A323)</f>
        <v>0</v>
      </c>
      <c r="C323">
        <f t="shared" ref="C323:C368" si="15">$G$1-B323</f>
        <v>6</v>
      </c>
      <c r="D323" t="str">
        <f t="shared" ref="D323:D368" si="16">IF(C323&lt;0,"OVERBOOKED",IF(C323=0,"FULL","AVAILABLE"))</f>
        <v>AVAILABLE</v>
      </c>
    </row>
    <row r="324" spans="1:4" x14ac:dyDescent="0.3">
      <c r="A324" s="16">
        <f t="shared" ref="A324:A365" si="17">A323+1</f>
        <v>46345</v>
      </c>
      <c r="B324">
        <f>COUNTIFS('2025'!G:G,"&lt;="&amp;A324,'2025'!H:H,"&gt;="&amp;A324)</f>
        <v>0</v>
      </c>
      <c r="C324">
        <f t="shared" si="15"/>
        <v>6</v>
      </c>
      <c r="D324" t="str">
        <f t="shared" si="16"/>
        <v>AVAILABLE</v>
      </c>
    </row>
    <row r="325" spans="1:4" x14ac:dyDescent="0.3">
      <c r="A325" s="16">
        <f t="shared" si="17"/>
        <v>46346</v>
      </c>
      <c r="B325">
        <f>COUNTIFS('2025'!G:G,"&lt;="&amp;A325,'2025'!H:H,"&gt;="&amp;A325)</f>
        <v>0</v>
      </c>
      <c r="C325">
        <f t="shared" si="15"/>
        <v>6</v>
      </c>
      <c r="D325" t="str">
        <f t="shared" si="16"/>
        <v>AVAILABLE</v>
      </c>
    </row>
    <row r="326" spans="1:4" x14ac:dyDescent="0.3">
      <c r="A326" s="16">
        <f t="shared" si="17"/>
        <v>46347</v>
      </c>
      <c r="B326">
        <f>COUNTIFS('2025'!G:G,"&lt;="&amp;A326,'2025'!H:H,"&gt;="&amp;A326)</f>
        <v>0</v>
      </c>
      <c r="C326">
        <f t="shared" si="15"/>
        <v>6</v>
      </c>
      <c r="D326" t="str">
        <f t="shared" si="16"/>
        <v>AVAILABLE</v>
      </c>
    </row>
    <row r="327" spans="1:4" x14ac:dyDescent="0.3">
      <c r="A327" s="16">
        <f t="shared" si="17"/>
        <v>46348</v>
      </c>
      <c r="B327">
        <f>COUNTIFS('2025'!G:G,"&lt;="&amp;A327,'2025'!H:H,"&gt;="&amp;A327)</f>
        <v>0</v>
      </c>
      <c r="C327">
        <f t="shared" si="15"/>
        <v>6</v>
      </c>
      <c r="D327" t="str">
        <f t="shared" si="16"/>
        <v>AVAILABLE</v>
      </c>
    </row>
    <row r="328" spans="1:4" x14ac:dyDescent="0.3">
      <c r="A328" s="16">
        <f t="shared" si="17"/>
        <v>46349</v>
      </c>
      <c r="B328">
        <f>COUNTIFS('2025'!G:G,"&lt;="&amp;A328,'2025'!H:H,"&gt;="&amp;A328)</f>
        <v>0</v>
      </c>
      <c r="C328">
        <f t="shared" si="15"/>
        <v>6</v>
      </c>
      <c r="D328" t="str">
        <f t="shared" si="16"/>
        <v>AVAILABLE</v>
      </c>
    </row>
    <row r="329" spans="1:4" x14ac:dyDescent="0.3">
      <c r="A329" s="16">
        <f t="shared" si="17"/>
        <v>46350</v>
      </c>
      <c r="B329">
        <f>COUNTIFS('2025'!G:G,"&lt;="&amp;A329,'2025'!H:H,"&gt;="&amp;A329)</f>
        <v>0</v>
      </c>
      <c r="C329">
        <f t="shared" si="15"/>
        <v>6</v>
      </c>
      <c r="D329" t="str">
        <f t="shared" si="16"/>
        <v>AVAILABLE</v>
      </c>
    </row>
    <row r="330" spans="1:4" x14ac:dyDescent="0.3">
      <c r="A330" s="16">
        <f t="shared" si="17"/>
        <v>46351</v>
      </c>
      <c r="B330">
        <f>COUNTIFS('2025'!G:G,"&lt;="&amp;A330,'2025'!H:H,"&gt;="&amp;A330)</f>
        <v>1</v>
      </c>
      <c r="C330">
        <f t="shared" si="15"/>
        <v>5</v>
      </c>
      <c r="D330" t="str">
        <f t="shared" si="16"/>
        <v>AVAILABLE</v>
      </c>
    </row>
    <row r="331" spans="1:4" x14ac:dyDescent="0.3">
      <c r="A331" s="16">
        <f t="shared" si="17"/>
        <v>46352</v>
      </c>
      <c r="B331">
        <f>COUNTIFS('2025'!G:G,"&lt;="&amp;A331,'2025'!H:H,"&gt;="&amp;A331)</f>
        <v>1</v>
      </c>
      <c r="C331">
        <f t="shared" si="15"/>
        <v>5</v>
      </c>
      <c r="D331" t="str">
        <f t="shared" si="16"/>
        <v>AVAILABLE</v>
      </c>
    </row>
    <row r="332" spans="1:4" x14ac:dyDescent="0.3">
      <c r="A332" s="16">
        <f t="shared" si="17"/>
        <v>46353</v>
      </c>
      <c r="B332">
        <f>COUNTIFS('2025'!G:G,"&lt;="&amp;A332,'2025'!H:H,"&gt;="&amp;A332)</f>
        <v>3</v>
      </c>
      <c r="C332">
        <f t="shared" si="15"/>
        <v>3</v>
      </c>
      <c r="D332" t="str">
        <f t="shared" si="16"/>
        <v>AVAILABLE</v>
      </c>
    </row>
    <row r="333" spans="1:4" x14ac:dyDescent="0.3">
      <c r="A333" s="16">
        <f t="shared" si="17"/>
        <v>46354</v>
      </c>
      <c r="B333">
        <f>COUNTIFS('2025'!G:G,"&lt;="&amp;A333,'2025'!H:H,"&gt;="&amp;A333)</f>
        <v>3</v>
      </c>
      <c r="C333">
        <f t="shared" si="15"/>
        <v>3</v>
      </c>
      <c r="D333" t="str">
        <f t="shared" si="16"/>
        <v>AVAILABLE</v>
      </c>
    </row>
    <row r="334" spans="1:4" x14ac:dyDescent="0.3">
      <c r="A334" s="16">
        <f t="shared" si="17"/>
        <v>46355</v>
      </c>
      <c r="B334">
        <f>COUNTIFS('2025'!G:G,"&lt;="&amp;A334,'2025'!H:H,"&gt;="&amp;A334)</f>
        <v>3</v>
      </c>
      <c r="C334">
        <f t="shared" si="15"/>
        <v>3</v>
      </c>
      <c r="D334" t="str">
        <f t="shared" si="16"/>
        <v>AVAILABLE</v>
      </c>
    </row>
    <row r="335" spans="1:4" x14ac:dyDescent="0.3">
      <c r="A335" s="16">
        <f t="shared" si="17"/>
        <v>46356</v>
      </c>
      <c r="B335">
        <f>COUNTIFS('2025'!G:G,"&lt;="&amp;A335,'2025'!H:H,"&gt;="&amp;A335)</f>
        <v>3</v>
      </c>
      <c r="C335">
        <f t="shared" si="15"/>
        <v>3</v>
      </c>
      <c r="D335" t="str">
        <f t="shared" si="16"/>
        <v>AVAILABLE</v>
      </c>
    </row>
    <row r="336" spans="1:4" x14ac:dyDescent="0.3">
      <c r="A336" s="16">
        <f t="shared" si="17"/>
        <v>46357</v>
      </c>
      <c r="B336">
        <f>COUNTIFS('2025'!G:G,"&lt;="&amp;A336,'2025'!H:H,"&gt;="&amp;A336)</f>
        <v>3</v>
      </c>
      <c r="C336">
        <f t="shared" si="15"/>
        <v>3</v>
      </c>
      <c r="D336" t="str">
        <f t="shared" si="16"/>
        <v>AVAILABLE</v>
      </c>
    </row>
    <row r="337" spans="1:4" x14ac:dyDescent="0.3">
      <c r="A337" s="16">
        <f t="shared" si="17"/>
        <v>46358</v>
      </c>
      <c r="B337">
        <f>COUNTIFS('2025'!G:G,"&lt;="&amp;A337,'2025'!H:H,"&gt;="&amp;A337)</f>
        <v>3</v>
      </c>
      <c r="C337">
        <f t="shared" si="15"/>
        <v>3</v>
      </c>
      <c r="D337" t="str">
        <f t="shared" si="16"/>
        <v>AVAILABLE</v>
      </c>
    </row>
    <row r="338" spans="1:4" x14ac:dyDescent="0.3">
      <c r="A338" s="16">
        <f t="shared" si="17"/>
        <v>46359</v>
      </c>
      <c r="B338">
        <f>COUNTIFS('2025'!G:G,"&lt;="&amp;A338,'2025'!H:H,"&gt;="&amp;A338)</f>
        <v>3</v>
      </c>
      <c r="C338">
        <f t="shared" si="15"/>
        <v>3</v>
      </c>
      <c r="D338" t="str">
        <f t="shared" si="16"/>
        <v>AVAILABLE</v>
      </c>
    </row>
    <row r="339" spans="1:4" x14ac:dyDescent="0.3">
      <c r="A339" s="16">
        <f t="shared" si="17"/>
        <v>46360</v>
      </c>
      <c r="B339">
        <f>COUNTIFS('2025'!G:G,"&lt;="&amp;A339,'2025'!H:H,"&gt;="&amp;A339)</f>
        <v>4</v>
      </c>
      <c r="C339">
        <f t="shared" si="15"/>
        <v>2</v>
      </c>
      <c r="D339" t="str">
        <f t="shared" si="16"/>
        <v>AVAILABLE</v>
      </c>
    </row>
    <row r="340" spans="1:4" x14ac:dyDescent="0.3">
      <c r="A340" s="16">
        <f t="shared" si="17"/>
        <v>46361</v>
      </c>
      <c r="B340">
        <f>COUNTIFS('2025'!G:G,"&lt;="&amp;A340,'2025'!H:H,"&gt;="&amp;A340)</f>
        <v>4</v>
      </c>
      <c r="C340">
        <f t="shared" si="15"/>
        <v>2</v>
      </c>
      <c r="D340" t="str">
        <f t="shared" si="16"/>
        <v>AVAILABLE</v>
      </c>
    </row>
    <row r="341" spans="1:4" x14ac:dyDescent="0.3">
      <c r="A341" s="16">
        <f t="shared" si="17"/>
        <v>46362</v>
      </c>
      <c r="B341">
        <f>COUNTIFS('2025'!G:G,"&lt;="&amp;A341,'2025'!H:H,"&gt;="&amp;A341)</f>
        <v>4</v>
      </c>
      <c r="C341">
        <f t="shared" si="15"/>
        <v>2</v>
      </c>
      <c r="D341" t="str">
        <f t="shared" si="16"/>
        <v>AVAILABLE</v>
      </c>
    </row>
    <row r="342" spans="1:4" x14ac:dyDescent="0.3">
      <c r="A342" s="16">
        <f t="shared" si="17"/>
        <v>46363</v>
      </c>
      <c r="B342">
        <f>COUNTIFS('2025'!G:G,"&lt;="&amp;A342,'2025'!H:H,"&gt;="&amp;A342)</f>
        <v>3</v>
      </c>
      <c r="C342">
        <f t="shared" si="15"/>
        <v>3</v>
      </c>
      <c r="D342" t="str">
        <f t="shared" si="16"/>
        <v>AVAILABLE</v>
      </c>
    </row>
    <row r="343" spans="1:4" x14ac:dyDescent="0.3">
      <c r="A343" s="16">
        <f t="shared" si="17"/>
        <v>46364</v>
      </c>
      <c r="B343">
        <f>COUNTIFS('2025'!G:G,"&lt;="&amp;A343,'2025'!H:H,"&gt;="&amp;A343)</f>
        <v>3</v>
      </c>
      <c r="C343">
        <f t="shared" si="15"/>
        <v>3</v>
      </c>
      <c r="D343" t="str">
        <f t="shared" si="16"/>
        <v>AVAILABLE</v>
      </c>
    </row>
    <row r="344" spans="1:4" x14ac:dyDescent="0.3">
      <c r="A344" s="16">
        <f t="shared" si="17"/>
        <v>46365</v>
      </c>
      <c r="B344">
        <f>COUNTIFS('2025'!G:G,"&lt;="&amp;A344,'2025'!H:H,"&gt;="&amp;A344)</f>
        <v>3</v>
      </c>
      <c r="C344">
        <f t="shared" si="15"/>
        <v>3</v>
      </c>
      <c r="D344" t="str">
        <f t="shared" si="16"/>
        <v>AVAILABLE</v>
      </c>
    </row>
    <row r="345" spans="1:4" x14ac:dyDescent="0.3">
      <c r="A345" s="16">
        <f t="shared" si="17"/>
        <v>46366</v>
      </c>
      <c r="B345">
        <f>COUNTIFS('2025'!G:G,"&lt;="&amp;A345,'2025'!H:H,"&gt;="&amp;A345)</f>
        <v>3</v>
      </c>
      <c r="C345">
        <f t="shared" si="15"/>
        <v>3</v>
      </c>
      <c r="D345" t="str">
        <f t="shared" si="16"/>
        <v>AVAILABLE</v>
      </c>
    </row>
    <row r="346" spans="1:4" x14ac:dyDescent="0.3">
      <c r="A346" s="16">
        <f t="shared" si="17"/>
        <v>46367</v>
      </c>
      <c r="B346">
        <f>COUNTIFS('2025'!G:G,"&lt;="&amp;A346,'2025'!H:H,"&gt;="&amp;A346)</f>
        <v>2</v>
      </c>
      <c r="C346">
        <f t="shared" si="15"/>
        <v>4</v>
      </c>
      <c r="D346" t="str">
        <f t="shared" si="16"/>
        <v>AVAILABLE</v>
      </c>
    </row>
    <row r="347" spans="1:4" x14ac:dyDescent="0.3">
      <c r="A347" s="16">
        <f t="shared" si="17"/>
        <v>46368</v>
      </c>
      <c r="B347">
        <f>COUNTIFS('2025'!G:G,"&lt;="&amp;A347,'2025'!H:H,"&gt;="&amp;A347)</f>
        <v>2</v>
      </c>
      <c r="C347">
        <f t="shared" si="15"/>
        <v>4</v>
      </c>
      <c r="D347" t="str">
        <f t="shared" si="16"/>
        <v>AVAILABLE</v>
      </c>
    </row>
    <row r="348" spans="1:4" x14ac:dyDescent="0.3">
      <c r="A348" s="16">
        <f t="shared" si="17"/>
        <v>46369</v>
      </c>
      <c r="B348">
        <f>COUNTIFS('2025'!G:G,"&lt;="&amp;A348,'2025'!H:H,"&gt;="&amp;A348)</f>
        <v>2</v>
      </c>
      <c r="C348">
        <f t="shared" si="15"/>
        <v>4</v>
      </c>
      <c r="D348" t="str">
        <f t="shared" si="16"/>
        <v>AVAILABLE</v>
      </c>
    </row>
    <row r="349" spans="1:4" x14ac:dyDescent="0.3">
      <c r="A349" s="16">
        <f t="shared" si="17"/>
        <v>46370</v>
      </c>
      <c r="B349">
        <f>COUNTIFS('2025'!G:G,"&lt;="&amp;A349,'2025'!H:H,"&gt;="&amp;A349)</f>
        <v>2</v>
      </c>
      <c r="C349">
        <f t="shared" si="15"/>
        <v>4</v>
      </c>
      <c r="D349" t="str">
        <f t="shared" si="16"/>
        <v>AVAILABLE</v>
      </c>
    </row>
    <row r="350" spans="1:4" x14ac:dyDescent="0.3">
      <c r="A350" s="16">
        <f t="shared" si="17"/>
        <v>46371</v>
      </c>
      <c r="B350">
        <f>COUNTIFS('2025'!G:G,"&lt;="&amp;A350,'2025'!H:H,"&gt;="&amp;A350)</f>
        <v>2</v>
      </c>
      <c r="C350">
        <f t="shared" si="15"/>
        <v>4</v>
      </c>
      <c r="D350" t="str">
        <f t="shared" si="16"/>
        <v>AVAILABLE</v>
      </c>
    </row>
    <row r="351" spans="1:4" x14ac:dyDescent="0.3">
      <c r="A351" s="16">
        <f t="shared" si="17"/>
        <v>46372</v>
      </c>
      <c r="B351">
        <f>COUNTIFS('2025'!G:G,"&lt;="&amp;A351,'2025'!H:H,"&gt;="&amp;A351)</f>
        <v>2</v>
      </c>
      <c r="C351">
        <f t="shared" si="15"/>
        <v>4</v>
      </c>
      <c r="D351" t="str">
        <f t="shared" si="16"/>
        <v>AVAILABLE</v>
      </c>
    </row>
    <row r="352" spans="1:4" x14ac:dyDescent="0.3">
      <c r="A352" s="16">
        <f t="shared" si="17"/>
        <v>46373</v>
      </c>
      <c r="B352">
        <f>COUNTIFS('2025'!G:G,"&lt;="&amp;A352,'2025'!H:H,"&gt;="&amp;A352)</f>
        <v>2</v>
      </c>
      <c r="C352">
        <f t="shared" si="15"/>
        <v>4</v>
      </c>
      <c r="D352" t="str">
        <f t="shared" si="16"/>
        <v>AVAILABLE</v>
      </c>
    </row>
    <row r="353" spans="1:4" x14ac:dyDescent="0.3">
      <c r="A353" s="16">
        <f t="shared" si="17"/>
        <v>46374</v>
      </c>
      <c r="B353">
        <f>COUNTIFS('2025'!G:G,"&lt;="&amp;A353,'2025'!H:H,"&gt;="&amp;A353)</f>
        <v>2</v>
      </c>
      <c r="C353">
        <f t="shared" si="15"/>
        <v>4</v>
      </c>
      <c r="D353" t="str">
        <f t="shared" si="16"/>
        <v>AVAILABLE</v>
      </c>
    </row>
    <row r="354" spans="1:4" x14ac:dyDescent="0.3">
      <c r="A354" s="16">
        <f t="shared" si="17"/>
        <v>46375</v>
      </c>
      <c r="B354">
        <f>COUNTIFS('2025'!G:G,"&lt;="&amp;A354,'2025'!H:H,"&gt;="&amp;A354)</f>
        <v>3</v>
      </c>
      <c r="C354">
        <f t="shared" si="15"/>
        <v>3</v>
      </c>
      <c r="D354" t="str">
        <f t="shared" si="16"/>
        <v>AVAILABLE</v>
      </c>
    </row>
    <row r="355" spans="1:4" x14ac:dyDescent="0.3">
      <c r="A355" s="16">
        <f t="shared" si="17"/>
        <v>46376</v>
      </c>
      <c r="B355">
        <f>COUNTIFS('2025'!G:G,"&lt;="&amp;A355,'2025'!H:H,"&gt;="&amp;A355)</f>
        <v>2</v>
      </c>
      <c r="C355">
        <f t="shared" si="15"/>
        <v>4</v>
      </c>
      <c r="D355" t="str">
        <f t="shared" si="16"/>
        <v>AVAILABLE</v>
      </c>
    </row>
    <row r="356" spans="1:4" x14ac:dyDescent="0.3">
      <c r="A356" s="16">
        <f t="shared" si="17"/>
        <v>46377</v>
      </c>
      <c r="B356">
        <f>COUNTIFS('2025'!G:G,"&lt;="&amp;A356,'2025'!H:H,"&gt;="&amp;A356)</f>
        <v>1</v>
      </c>
      <c r="C356">
        <f t="shared" si="15"/>
        <v>5</v>
      </c>
      <c r="D356" t="str">
        <f t="shared" si="16"/>
        <v>AVAILABLE</v>
      </c>
    </row>
    <row r="357" spans="1:4" x14ac:dyDescent="0.3">
      <c r="A357" s="16">
        <f t="shared" si="17"/>
        <v>46378</v>
      </c>
      <c r="B357">
        <f>COUNTIFS('2025'!G:G,"&lt;="&amp;A357,'2025'!H:H,"&gt;="&amp;A357)</f>
        <v>1</v>
      </c>
      <c r="C357">
        <f t="shared" si="15"/>
        <v>5</v>
      </c>
      <c r="D357" t="str">
        <f t="shared" si="16"/>
        <v>AVAILABLE</v>
      </c>
    </row>
    <row r="358" spans="1:4" x14ac:dyDescent="0.3">
      <c r="A358" s="16">
        <f t="shared" si="17"/>
        <v>46379</v>
      </c>
      <c r="B358">
        <f>COUNTIFS('2025'!G:G,"&lt;="&amp;A358,'2025'!H:H,"&gt;="&amp;A358)</f>
        <v>1</v>
      </c>
      <c r="C358">
        <f t="shared" si="15"/>
        <v>5</v>
      </c>
      <c r="D358" t="str">
        <f t="shared" si="16"/>
        <v>AVAILABLE</v>
      </c>
    </row>
    <row r="359" spans="1:4" x14ac:dyDescent="0.3">
      <c r="A359" s="16">
        <f t="shared" si="17"/>
        <v>46380</v>
      </c>
      <c r="B359">
        <f>COUNTIFS('2025'!G:G,"&lt;="&amp;A359,'2025'!H:H,"&gt;="&amp;A359)</f>
        <v>1</v>
      </c>
      <c r="C359">
        <f t="shared" si="15"/>
        <v>5</v>
      </c>
      <c r="D359" t="str">
        <f t="shared" si="16"/>
        <v>AVAILABLE</v>
      </c>
    </row>
    <row r="360" spans="1:4" x14ac:dyDescent="0.3">
      <c r="A360" s="16">
        <f t="shared" si="17"/>
        <v>46381</v>
      </c>
      <c r="B360">
        <f>COUNTIFS('2025'!G:G,"&lt;="&amp;A360,'2025'!H:H,"&gt;="&amp;A360)</f>
        <v>1</v>
      </c>
      <c r="C360">
        <f t="shared" si="15"/>
        <v>5</v>
      </c>
      <c r="D360" t="str">
        <f t="shared" si="16"/>
        <v>AVAILABLE</v>
      </c>
    </row>
    <row r="361" spans="1:4" x14ac:dyDescent="0.3">
      <c r="A361" s="16">
        <f t="shared" si="17"/>
        <v>46382</v>
      </c>
      <c r="B361">
        <f>COUNTIFS('2025'!G:G,"&lt;="&amp;A361,'2025'!H:H,"&gt;="&amp;A361)</f>
        <v>1</v>
      </c>
      <c r="C361">
        <f t="shared" si="15"/>
        <v>5</v>
      </c>
      <c r="D361" t="str">
        <f t="shared" si="16"/>
        <v>AVAILABLE</v>
      </c>
    </row>
    <row r="362" spans="1:4" x14ac:dyDescent="0.3">
      <c r="A362" s="16">
        <f t="shared" si="17"/>
        <v>46383</v>
      </c>
      <c r="B362">
        <f>COUNTIFS('2025'!G:G,"&lt;="&amp;A362,'2025'!H:H,"&gt;="&amp;A362)</f>
        <v>1</v>
      </c>
      <c r="C362">
        <f t="shared" si="15"/>
        <v>5</v>
      </c>
      <c r="D362" t="str">
        <f t="shared" si="16"/>
        <v>AVAILABLE</v>
      </c>
    </row>
    <row r="363" spans="1:4" x14ac:dyDescent="0.3">
      <c r="A363" s="16">
        <f t="shared" si="17"/>
        <v>46384</v>
      </c>
      <c r="B363">
        <f>COUNTIFS('2025'!G:G,"&lt;="&amp;A363,'2025'!H:H,"&gt;="&amp;A363)</f>
        <v>2</v>
      </c>
      <c r="C363">
        <f t="shared" si="15"/>
        <v>4</v>
      </c>
      <c r="D363" t="str">
        <f t="shared" si="16"/>
        <v>AVAILABLE</v>
      </c>
    </row>
    <row r="364" spans="1:4" x14ac:dyDescent="0.3">
      <c r="A364" s="16">
        <f t="shared" si="17"/>
        <v>46385</v>
      </c>
      <c r="B364">
        <f>COUNTIFS('2025'!G:G,"&lt;="&amp;A364,'2025'!H:H,"&gt;="&amp;A364)</f>
        <v>2</v>
      </c>
      <c r="C364">
        <f t="shared" si="15"/>
        <v>4</v>
      </c>
      <c r="D364" t="str">
        <f t="shared" si="16"/>
        <v>AVAILABLE</v>
      </c>
    </row>
    <row r="365" spans="1:4" x14ac:dyDescent="0.3">
      <c r="A365" s="16">
        <f t="shared" si="17"/>
        <v>46386</v>
      </c>
      <c r="B365">
        <f>COUNTIFS('2025'!G:G,"&lt;="&amp;A365,'2025'!H:H,"&gt;="&amp;A365)</f>
        <v>2</v>
      </c>
      <c r="C365">
        <f t="shared" si="15"/>
        <v>4</v>
      </c>
      <c r="D365" t="str">
        <f t="shared" si="16"/>
        <v>AVAILABLE</v>
      </c>
    </row>
    <row r="366" spans="1:4" x14ac:dyDescent="0.3">
      <c r="A366" s="16">
        <f>A365+1</f>
        <v>46387</v>
      </c>
      <c r="B366">
        <f>COUNTIFS('2025'!G:G,"&lt;="&amp;A366,'2025'!H:H,"&gt;="&amp;A366)</f>
        <v>2</v>
      </c>
      <c r="C366">
        <f t="shared" si="15"/>
        <v>4</v>
      </c>
      <c r="D366" t="str">
        <f t="shared" si="16"/>
        <v>AVAILABLE</v>
      </c>
    </row>
    <row r="367" spans="1:4" x14ac:dyDescent="0.3">
      <c r="A367" s="16">
        <f t="shared" ref="A367:A368" si="18">A366+1</f>
        <v>46388</v>
      </c>
      <c r="B367">
        <f>COUNTIFS('2025'!G:G,"&lt;="&amp;A367,'2025'!H:H,"&gt;="&amp;A367)</f>
        <v>1</v>
      </c>
      <c r="C367">
        <f t="shared" si="15"/>
        <v>5</v>
      </c>
      <c r="D367" t="str">
        <f t="shared" si="16"/>
        <v>AVAILABLE</v>
      </c>
    </row>
    <row r="368" spans="1:4" x14ac:dyDescent="0.3">
      <c r="A368" s="16">
        <f t="shared" si="18"/>
        <v>46389</v>
      </c>
      <c r="B368">
        <f>COUNTIFS('2025'!G:G,"&lt;="&amp;A368,'2025'!H:H,"&gt;="&amp;A368)</f>
        <v>1</v>
      </c>
      <c r="C368">
        <f t="shared" si="15"/>
        <v>5</v>
      </c>
      <c r="D368" t="str">
        <f t="shared" si="16"/>
        <v>AVAILABLE</v>
      </c>
    </row>
  </sheetData>
  <conditionalFormatting sqref="D1:D1048576">
    <cfRule type="containsText" dxfId="3" priority="1" operator="containsText" text="FULL">
      <formula>NOT(ISERROR(SEARCH("FULL",D1)))</formula>
    </cfRule>
    <cfRule type="containsText" dxfId="2" priority="2" operator="containsText" text="OVERBOOKED">
      <formula>NOT(ISERROR(SEARCH("OVERBOOKED",D1)))</formula>
    </cfRule>
    <cfRule type="containsText" dxfId="1" priority="3" operator="containsText" text="AVAILABLE">
      <formula>NOT(ISERROR(SEARCH("AVAILABLE",D1)))</formula>
    </cfRule>
    <cfRule type="containsText" dxfId="0" priority="4" operator="containsText" text="&quot;AVAILABLE&quot;">
      <formula>NOT(ISERROR(SEARCH("""AVAILABLE""",D1)))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55ABB-3958-4667-A8E1-DFE80ACEB0D3}">
  <dimension ref="A1"/>
  <sheetViews>
    <sheetView workbookViewId="0"/>
  </sheetViews>
  <sheetFormatPr defaultRowHeight="14.4" x14ac:dyDescent="0.3"/>
  <cols>
    <col min="1" max="1" width="36.5546875" bestFit="1" customWidth="1"/>
  </cols>
  <sheetData>
    <row r="1" spans="1:1" ht="86.4" x14ac:dyDescent="0.3">
      <c r="A1" s="8" t="s">
        <v>346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C0F35-D226-4CBD-ACD4-DDD15BAA975D}">
  <dimension ref="A1:B368"/>
  <sheetViews>
    <sheetView workbookViewId="0"/>
  </sheetViews>
  <sheetFormatPr defaultRowHeight="14.4" x14ac:dyDescent="0.3"/>
  <sheetData>
    <row r="1" spans="1:2" x14ac:dyDescent="0.3">
      <c r="A1" t="s">
        <v>347</v>
      </c>
      <c r="B1" t="s">
        <v>348</v>
      </c>
    </row>
    <row r="2" spans="1:2" x14ac:dyDescent="0.3">
      <c r="A2">
        <v>46023</v>
      </c>
      <c r="B2">
        <v>2</v>
      </c>
    </row>
    <row r="3" spans="1:2" x14ac:dyDescent="0.3">
      <c r="A3">
        <v>46024</v>
      </c>
      <c r="B3">
        <v>4</v>
      </c>
    </row>
    <row r="4" spans="1:2" x14ac:dyDescent="0.3">
      <c r="A4">
        <v>46025</v>
      </c>
      <c r="B4">
        <v>2</v>
      </c>
    </row>
    <row r="5" spans="1:2" x14ac:dyDescent="0.3">
      <c r="A5">
        <v>46026</v>
      </c>
      <c r="B5">
        <v>3</v>
      </c>
    </row>
    <row r="6" spans="1:2" x14ac:dyDescent="0.3">
      <c r="A6">
        <v>46027</v>
      </c>
      <c r="B6">
        <v>5</v>
      </c>
    </row>
    <row r="7" spans="1:2" x14ac:dyDescent="0.3">
      <c r="A7">
        <v>46028</v>
      </c>
      <c r="B7">
        <v>4</v>
      </c>
    </row>
    <row r="8" spans="1:2" x14ac:dyDescent="0.3">
      <c r="A8">
        <v>46029</v>
      </c>
      <c r="B8">
        <v>-2</v>
      </c>
    </row>
    <row r="9" spans="1:2" x14ac:dyDescent="0.3">
      <c r="A9">
        <v>46030</v>
      </c>
      <c r="B9">
        <v>1</v>
      </c>
    </row>
    <row r="10" spans="1:2" x14ac:dyDescent="0.3">
      <c r="A10">
        <v>46031</v>
      </c>
      <c r="B10">
        <v>1</v>
      </c>
    </row>
    <row r="11" spans="1:2" x14ac:dyDescent="0.3">
      <c r="A11">
        <v>46032</v>
      </c>
      <c r="B11">
        <v>-1</v>
      </c>
    </row>
    <row r="12" spans="1:2" x14ac:dyDescent="0.3">
      <c r="A12">
        <v>46033</v>
      </c>
      <c r="B12">
        <v>1</v>
      </c>
    </row>
    <row r="13" spans="1:2" x14ac:dyDescent="0.3">
      <c r="A13">
        <v>46034</v>
      </c>
      <c r="B13">
        <v>2</v>
      </c>
    </row>
    <row r="14" spans="1:2" x14ac:dyDescent="0.3">
      <c r="A14">
        <v>46035</v>
      </c>
      <c r="B14">
        <v>3</v>
      </c>
    </row>
    <row r="15" spans="1:2" x14ac:dyDescent="0.3">
      <c r="A15">
        <v>46036</v>
      </c>
      <c r="B15">
        <v>2</v>
      </c>
    </row>
    <row r="16" spans="1:2" x14ac:dyDescent="0.3">
      <c r="A16">
        <v>46037</v>
      </c>
      <c r="B16">
        <v>3</v>
      </c>
    </row>
    <row r="17" spans="1:2" x14ac:dyDescent="0.3">
      <c r="A17">
        <v>46038</v>
      </c>
      <c r="B17">
        <v>1</v>
      </c>
    </row>
    <row r="18" spans="1:2" x14ac:dyDescent="0.3">
      <c r="A18">
        <v>46039</v>
      </c>
      <c r="B18">
        <v>1</v>
      </c>
    </row>
    <row r="19" spans="1:2" x14ac:dyDescent="0.3">
      <c r="A19">
        <v>46040</v>
      </c>
      <c r="B19">
        <v>2</v>
      </c>
    </row>
    <row r="20" spans="1:2" x14ac:dyDescent="0.3">
      <c r="A20">
        <v>46041</v>
      </c>
      <c r="B20">
        <v>4</v>
      </c>
    </row>
    <row r="21" spans="1:2" x14ac:dyDescent="0.3">
      <c r="A21">
        <v>46042</v>
      </c>
      <c r="B21">
        <v>4</v>
      </c>
    </row>
    <row r="22" spans="1:2" x14ac:dyDescent="0.3">
      <c r="A22">
        <v>46043</v>
      </c>
      <c r="B22">
        <v>5</v>
      </c>
    </row>
    <row r="23" spans="1:2" x14ac:dyDescent="0.3">
      <c r="A23">
        <v>46044</v>
      </c>
      <c r="B23">
        <v>3</v>
      </c>
    </row>
    <row r="24" spans="1:2" x14ac:dyDescent="0.3">
      <c r="A24">
        <v>46045</v>
      </c>
      <c r="B24">
        <v>4</v>
      </c>
    </row>
    <row r="25" spans="1:2" x14ac:dyDescent="0.3">
      <c r="A25">
        <v>46046</v>
      </c>
      <c r="B25">
        <v>4</v>
      </c>
    </row>
    <row r="26" spans="1:2" x14ac:dyDescent="0.3">
      <c r="A26">
        <v>46047</v>
      </c>
      <c r="B26">
        <v>4</v>
      </c>
    </row>
    <row r="27" spans="1:2" x14ac:dyDescent="0.3">
      <c r="A27">
        <v>46048</v>
      </c>
      <c r="B27">
        <v>4</v>
      </c>
    </row>
    <row r="28" spans="1:2" x14ac:dyDescent="0.3">
      <c r="A28">
        <v>46049</v>
      </c>
      <c r="B28">
        <v>4</v>
      </c>
    </row>
    <row r="29" spans="1:2" x14ac:dyDescent="0.3">
      <c r="A29">
        <v>46050</v>
      </c>
      <c r="B29">
        <v>4</v>
      </c>
    </row>
    <row r="30" spans="1:2" x14ac:dyDescent="0.3">
      <c r="A30">
        <v>46051</v>
      </c>
      <c r="B30">
        <v>4</v>
      </c>
    </row>
    <row r="31" spans="1:2" x14ac:dyDescent="0.3">
      <c r="A31">
        <v>46052</v>
      </c>
      <c r="B31">
        <v>5</v>
      </c>
    </row>
    <row r="32" spans="1:2" x14ac:dyDescent="0.3">
      <c r="A32">
        <v>46053</v>
      </c>
      <c r="B32">
        <v>5</v>
      </c>
    </row>
    <row r="33" spans="1:2" x14ac:dyDescent="0.3">
      <c r="A33">
        <v>46054</v>
      </c>
      <c r="B33">
        <v>5</v>
      </c>
    </row>
    <row r="34" spans="1:2" x14ac:dyDescent="0.3">
      <c r="A34">
        <v>46055</v>
      </c>
      <c r="B34">
        <v>6</v>
      </c>
    </row>
    <row r="35" spans="1:2" x14ac:dyDescent="0.3">
      <c r="A35">
        <v>46056</v>
      </c>
      <c r="B35">
        <v>6</v>
      </c>
    </row>
    <row r="36" spans="1:2" x14ac:dyDescent="0.3">
      <c r="A36">
        <v>46057</v>
      </c>
      <c r="B36">
        <v>6</v>
      </c>
    </row>
    <row r="37" spans="1:2" x14ac:dyDescent="0.3">
      <c r="A37">
        <v>46058</v>
      </c>
      <c r="B37">
        <v>6</v>
      </c>
    </row>
    <row r="38" spans="1:2" x14ac:dyDescent="0.3">
      <c r="A38">
        <v>46059</v>
      </c>
      <c r="B38">
        <v>4</v>
      </c>
    </row>
    <row r="39" spans="1:2" x14ac:dyDescent="0.3">
      <c r="A39">
        <v>46060</v>
      </c>
      <c r="B39">
        <v>4</v>
      </c>
    </row>
    <row r="40" spans="1:2" x14ac:dyDescent="0.3">
      <c r="A40">
        <v>46061</v>
      </c>
      <c r="B40">
        <v>4</v>
      </c>
    </row>
    <row r="41" spans="1:2" x14ac:dyDescent="0.3">
      <c r="A41">
        <v>46062</v>
      </c>
      <c r="B41">
        <v>4</v>
      </c>
    </row>
    <row r="42" spans="1:2" x14ac:dyDescent="0.3">
      <c r="A42">
        <v>46063</v>
      </c>
      <c r="B42">
        <v>4</v>
      </c>
    </row>
    <row r="43" spans="1:2" x14ac:dyDescent="0.3">
      <c r="A43">
        <v>46064</v>
      </c>
      <c r="B43">
        <v>5</v>
      </c>
    </row>
    <row r="44" spans="1:2" x14ac:dyDescent="0.3">
      <c r="A44">
        <v>46065</v>
      </c>
      <c r="B44">
        <v>5</v>
      </c>
    </row>
    <row r="45" spans="1:2" x14ac:dyDescent="0.3">
      <c r="A45">
        <v>46066</v>
      </c>
      <c r="B45">
        <v>6</v>
      </c>
    </row>
    <row r="46" spans="1:2" x14ac:dyDescent="0.3">
      <c r="A46">
        <v>46067</v>
      </c>
      <c r="B46">
        <v>6</v>
      </c>
    </row>
    <row r="47" spans="1:2" x14ac:dyDescent="0.3">
      <c r="A47">
        <v>46068</v>
      </c>
      <c r="B47">
        <v>4</v>
      </c>
    </row>
    <row r="48" spans="1:2" x14ac:dyDescent="0.3">
      <c r="A48">
        <v>46069</v>
      </c>
      <c r="B48">
        <v>4</v>
      </c>
    </row>
    <row r="49" spans="1:2" x14ac:dyDescent="0.3">
      <c r="A49">
        <v>46070</v>
      </c>
      <c r="B49">
        <v>4</v>
      </c>
    </row>
    <row r="50" spans="1:2" x14ac:dyDescent="0.3">
      <c r="A50">
        <v>46071</v>
      </c>
      <c r="B50">
        <v>5</v>
      </c>
    </row>
    <row r="51" spans="1:2" x14ac:dyDescent="0.3">
      <c r="A51">
        <v>46072</v>
      </c>
      <c r="B51">
        <v>6</v>
      </c>
    </row>
    <row r="52" spans="1:2" x14ac:dyDescent="0.3">
      <c r="A52">
        <v>46073</v>
      </c>
      <c r="B52">
        <v>6</v>
      </c>
    </row>
    <row r="53" spans="1:2" x14ac:dyDescent="0.3">
      <c r="A53">
        <v>46074</v>
      </c>
      <c r="B53">
        <v>6</v>
      </c>
    </row>
    <row r="54" spans="1:2" x14ac:dyDescent="0.3">
      <c r="A54">
        <v>46075</v>
      </c>
      <c r="B54">
        <v>6</v>
      </c>
    </row>
    <row r="55" spans="1:2" x14ac:dyDescent="0.3">
      <c r="A55">
        <v>46076</v>
      </c>
      <c r="B55">
        <v>6</v>
      </c>
    </row>
    <row r="56" spans="1:2" x14ac:dyDescent="0.3">
      <c r="A56">
        <v>46077</v>
      </c>
      <c r="B56">
        <v>5</v>
      </c>
    </row>
    <row r="57" spans="1:2" x14ac:dyDescent="0.3">
      <c r="A57">
        <v>46078</v>
      </c>
      <c r="B57">
        <v>5</v>
      </c>
    </row>
    <row r="58" spans="1:2" x14ac:dyDescent="0.3">
      <c r="A58">
        <v>46079</v>
      </c>
      <c r="B58">
        <v>4</v>
      </c>
    </row>
    <row r="59" spans="1:2" x14ac:dyDescent="0.3">
      <c r="A59">
        <v>46080</v>
      </c>
      <c r="B59">
        <v>4</v>
      </c>
    </row>
    <row r="60" spans="1:2" x14ac:dyDescent="0.3">
      <c r="A60">
        <v>46081</v>
      </c>
      <c r="B60">
        <v>4</v>
      </c>
    </row>
    <row r="61" spans="1:2" x14ac:dyDescent="0.3">
      <c r="A61">
        <v>46082</v>
      </c>
      <c r="B61">
        <v>4</v>
      </c>
    </row>
    <row r="62" spans="1:2" x14ac:dyDescent="0.3">
      <c r="A62">
        <v>46083</v>
      </c>
      <c r="B62">
        <v>4</v>
      </c>
    </row>
    <row r="63" spans="1:2" x14ac:dyDescent="0.3">
      <c r="A63">
        <v>46084</v>
      </c>
      <c r="B63">
        <v>5</v>
      </c>
    </row>
    <row r="64" spans="1:2" x14ac:dyDescent="0.3">
      <c r="A64">
        <v>46085</v>
      </c>
      <c r="B64">
        <v>5</v>
      </c>
    </row>
    <row r="65" spans="1:2" x14ac:dyDescent="0.3">
      <c r="A65">
        <v>46086</v>
      </c>
      <c r="B65">
        <v>5</v>
      </c>
    </row>
    <row r="66" spans="1:2" x14ac:dyDescent="0.3">
      <c r="A66">
        <v>46087</v>
      </c>
      <c r="B66">
        <v>5</v>
      </c>
    </row>
    <row r="67" spans="1:2" x14ac:dyDescent="0.3">
      <c r="A67">
        <v>46088</v>
      </c>
      <c r="B67">
        <v>4</v>
      </c>
    </row>
    <row r="68" spans="1:2" x14ac:dyDescent="0.3">
      <c r="A68">
        <v>46089</v>
      </c>
      <c r="B68">
        <v>4</v>
      </c>
    </row>
    <row r="69" spans="1:2" x14ac:dyDescent="0.3">
      <c r="A69">
        <v>46090</v>
      </c>
      <c r="B69">
        <v>4</v>
      </c>
    </row>
    <row r="70" spans="1:2" x14ac:dyDescent="0.3">
      <c r="A70">
        <v>46091</v>
      </c>
      <c r="B70">
        <v>4</v>
      </c>
    </row>
    <row r="71" spans="1:2" x14ac:dyDescent="0.3">
      <c r="A71">
        <v>46092</v>
      </c>
      <c r="B71">
        <v>4</v>
      </c>
    </row>
    <row r="72" spans="1:2" x14ac:dyDescent="0.3">
      <c r="A72">
        <v>46093</v>
      </c>
      <c r="B72">
        <v>5</v>
      </c>
    </row>
    <row r="73" spans="1:2" x14ac:dyDescent="0.3">
      <c r="A73">
        <v>46094</v>
      </c>
      <c r="B73">
        <v>4</v>
      </c>
    </row>
    <row r="74" spans="1:2" x14ac:dyDescent="0.3">
      <c r="A74">
        <v>46095</v>
      </c>
      <c r="B74">
        <v>4</v>
      </c>
    </row>
    <row r="75" spans="1:2" x14ac:dyDescent="0.3">
      <c r="A75">
        <v>46096</v>
      </c>
      <c r="B75">
        <v>4</v>
      </c>
    </row>
    <row r="76" spans="1:2" x14ac:dyDescent="0.3">
      <c r="A76">
        <v>46097</v>
      </c>
      <c r="B76">
        <v>4</v>
      </c>
    </row>
    <row r="77" spans="1:2" x14ac:dyDescent="0.3">
      <c r="A77">
        <v>46098</v>
      </c>
      <c r="B77">
        <v>4</v>
      </c>
    </row>
    <row r="78" spans="1:2" x14ac:dyDescent="0.3">
      <c r="A78">
        <v>46099</v>
      </c>
      <c r="B78">
        <v>5</v>
      </c>
    </row>
    <row r="79" spans="1:2" x14ac:dyDescent="0.3">
      <c r="A79">
        <v>46100</v>
      </c>
      <c r="B79">
        <v>5</v>
      </c>
    </row>
    <row r="80" spans="1:2" x14ac:dyDescent="0.3">
      <c r="A80">
        <v>46101</v>
      </c>
      <c r="B80">
        <v>5</v>
      </c>
    </row>
    <row r="81" spans="1:2" x14ac:dyDescent="0.3">
      <c r="A81">
        <v>46102</v>
      </c>
      <c r="B81">
        <v>6</v>
      </c>
    </row>
    <row r="82" spans="1:2" x14ac:dyDescent="0.3">
      <c r="A82">
        <v>46103</v>
      </c>
      <c r="B82">
        <v>6</v>
      </c>
    </row>
    <row r="83" spans="1:2" x14ac:dyDescent="0.3">
      <c r="A83">
        <v>46104</v>
      </c>
      <c r="B83">
        <v>6</v>
      </c>
    </row>
    <row r="84" spans="1:2" x14ac:dyDescent="0.3">
      <c r="A84">
        <v>46105</v>
      </c>
      <c r="B84">
        <v>6</v>
      </c>
    </row>
    <row r="85" spans="1:2" x14ac:dyDescent="0.3">
      <c r="A85">
        <v>46106</v>
      </c>
      <c r="B85">
        <v>6</v>
      </c>
    </row>
    <row r="86" spans="1:2" x14ac:dyDescent="0.3">
      <c r="A86">
        <v>46107</v>
      </c>
      <c r="B86">
        <v>6</v>
      </c>
    </row>
    <row r="87" spans="1:2" x14ac:dyDescent="0.3">
      <c r="A87">
        <v>46108</v>
      </c>
      <c r="B87">
        <v>6</v>
      </c>
    </row>
    <row r="88" spans="1:2" x14ac:dyDescent="0.3">
      <c r="A88">
        <v>46109</v>
      </c>
      <c r="B88">
        <v>6</v>
      </c>
    </row>
    <row r="89" spans="1:2" x14ac:dyDescent="0.3">
      <c r="A89">
        <v>46110</v>
      </c>
      <c r="B89">
        <v>6</v>
      </c>
    </row>
    <row r="90" spans="1:2" x14ac:dyDescent="0.3">
      <c r="A90">
        <v>46111</v>
      </c>
      <c r="B90">
        <v>6</v>
      </c>
    </row>
    <row r="91" spans="1:2" x14ac:dyDescent="0.3">
      <c r="A91">
        <v>46112</v>
      </c>
      <c r="B91">
        <v>6</v>
      </c>
    </row>
    <row r="92" spans="1:2" x14ac:dyDescent="0.3">
      <c r="A92">
        <v>46113</v>
      </c>
      <c r="B92">
        <v>6</v>
      </c>
    </row>
    <row r="93" spans="1:2" x14ac:dyDescent="0.3">
      <c r="A93">
        <v>46114</v>
      </c>
      <c r="B93">
        <v>5</v>
      </c>
    </row>
    <row r="94" spans="1:2" x14ac:dyDescent="0.3">
      <c r="A94">
        <v>46115</v>
      </c>
      <c r="B94">
        <v>5</v>
      </c>
    </row>
    <row r="95" spans="1:2" x14ac:dyDescent="0.3">
      <c r="A95">
        <v>46116</v>
      </c>
      <c r="B95">
        <v>5</v>
      </c>
    </row>
    <row r="96" spans="1:2" x14ac:dyDescent="0.3">
      <c r="A96">
        <v>46117</v>
      </c>
      <c r="B96">
        <v>5</v>
      </c>
    </row>
    <row r="97" spans="1:2" x14ac:dyDescent="0.3">
      <c r="A97">
        <v>46118</v>
      </c>
      <c r="B97">
        <v>5</v>
      </c>
    </row>
    <row r="98" spans="1:2" x14ac:dyDescent="0.3">
      <c r="A98">
        <v>46119</v>
      </c>
      <c r="B98">
        <v>5</v>
      </c>
    </row>
    <row r="99" spans="1:2" x14ac:dyDescent="0.3">
      <c r="A99">
        <v>46120</v>
      </c>
      <c r="B99">
        <v>5</v>
      </c>
    </row>
    <row r="100" spans="1:2" x14ac:dyDescent="0.3">
      <c r="A100">
        <v>46121</v>
      </c>
      <c r="B100">
        <v>5</v>
      </c>
    </row>
    <row r="101" spans="1:2" x14ac:dyDescent="0.3">
      <c r="A101">
        <v>46122</v>
      </c>
      <c r="B101">
        <v>5</v>
      </c>
    </row>
    <row r="102" spans="1:2" x14ac:dyDescent="0.3">
      <c r="A102">
        <v>46123</v>
      </c>
      <c r="B102">
        <v>4</v>
      </c>
    </row>
    <row r="103" spans="1:2" x14ac:dyDescent="0.3">
      <c r="A103">
        <v>46124</v>
      </c>
      <c r="B103">
        <v>4</v>
      </c>
    </row>
    <row r="104" spans="1:2" x14ac:dyDescent="0.3">
      <c r="A104">
        <v>46125</v>
      </c>
      <c r="B104">
        <v>4</v>
      </c>
    </row>
    <row r="105" spans="1:2" x14ac:dyDescent="0.3">
      <c r="A105">
        <v>46126</v>
      </c>
      <c r="B105">
        <v>4</v>
      </c>
    </row>
    <row r="106" spans="1:2" x14ac:dyDescent="0.3">
      <c r="A106">
        <v>46127</v>
      </c>
      <c r="B106">
        <v>4</v>
      </c>
    </row>
    <row r="107" spans="1:2" x14ac:dyDescent="0.3">
      <c r="A107">
        <v>46128</v>
      </c>
      <c r="B107">
        <v>4</v>
      </c>
    </row>
    <row r="108" spans="1:2" x14ac:dyDescent="0.3">
      <c r="A108">
        <v>46129</v>
      </c>
      <c r="B108">
        <v>4</v>
      </c>
    </row>
    <row r="109" spans="1:2" x14ac:dyDescent="0.3">
      <c r="A109">
        <v>46130</v>
      </c>
      <c r="B109">
        <v>4</v>
      </c>
    </row>
    <row r="110" spans="1:2" x14ac:dyDescent="0.3">
      <c r="A110">
        <v>46131</v>
      </c>
      <c r="B110">
        <v>4</v>
      </c>
    </row>
    <row r="111" spans="1:2" x14ac:dyDescent="0.3">
      <c r="A111">
        <v>46132</v>
      </c>
      <c r="B111">
        <v>4</v>
      </c>
    </row>
    <row r="112" spans="1:2" x14ac:dyDescent="0.3">
      <c r="A112">
        <v>46133</v>
      </c>
      <c r="B112">
        <v>4</v>
      </c>
    </row>
    <row r="113" spans="1:2" x14ac:dyDescent="0.3">
      <c r="A113">
        <v>46134</v>
      </c>
      <c r="B113">
        <v>4</v>
      </c>
    </row>
    <row r="114" spans="1:2" x14ac:dyDescent="0.3">
      <c r="A114">
        <v>46135</v>
      </c>
      <c r="B114">
        <v>4</v>
      </c>
    </row>
    <row r="115" spans="1:2" x14ac:dyDescent="0.3">
      <c r="A115">
        <v>46136</v>
      </c>
      <c r="B115">
        <v>6</v>
      </c>
    </row>
    <row r="116" spans="1:2" x14ac:dyDescent="0.3">
      <c r="A116">
        <v>46137</v>
      </c>
      <c r="B116">
        <v>6</v>
      </c>
    </row>
    <row r="117" spans="1:2" x14ac:dyDescent="0.3">
      <c r="A117">
        <v>46138</v>
      </c>
      <c r="B117">
        <v>6</v>
      </c>
    </row>
    <row r="118" spans="1:2" x14ac:dyDescent="0.3">
      <c r="A118">
        <v>46139</v>
      </c>
      <c r="B118">
        <v>6</v>
      </c>
    </row>
    <row r="119" spans="1:2" x14ac:dyDescent="0.3">
      <c r="A119">
        <v>46140</v>
      </c>
      <c r="B119">
        <v>5</v>
      </c>
    </row>
    <row r="120" spans="1:2" x14ac:dyDescent="0.3">
      <c r="A120">
        <v>46141</v>
      </c>
      <c r="B120">
        <v>5</v>
      </c>
    </row>
    <row r="121" spans="1:2" x14ac:dyDescent="0.3">
      <c r="A121">
        <v>46142</v>
      </c>
      <c r="B121">
        <v>5</v>
      </c>
    </row>
    <row r="122" spans="1:2" x14ac:dyDescent="0.3">
      <c r="A122">
        <v>46143</v>
      </c>
      <c r="B122">
        <v>4</v>
      </c>
    </row>
    <row r="123" spans="1:2" x14ac:dyDescent="0.3">
      <c r="A123">
        <v>46144</v>
      </c>
      <c r="B123">
        <v>4</v>
      </c>
    </row>
    <row r="124" spans="1:2" x14ac:dyDescent="0.3">
      <c r="A124">
        <v>46145</v>
      </c>
      <c r="B124">
        <v>4</v>
      </c>
    </row>
    <row r="125" spans="1:2" x14ac:dyDescent="0.3">
      <c r="A125">
        <v>46146</v>
      </c>
      <c r="B125">
        <v>5</v>
      </c>
    </row>
    <row r="126" spans="1:2" x14ac:dyDescent="0.3">
      <c r="A126">
        <v>46147</v>
      </c>
      <c r="B126">
        <v>5</v>
      </c>
    </row>
    <row r="127" spans="1:2" x14ac:dyDescent="0.3">
      <c r="A127">
        <v>46148</v>
      </c>
      <c r="B127">
        <v>5</v>
      </c>
    </row>
    <row r="128" spans="1:2" x14ac:dyDescent="0.3">
      <c r="A128">
        <v>46149</v>
      </c>
      <c r="B128">
        <v>5</v>
      </c>
    </row>
    <row r="129" spans="1:2" x14ac:dyDescent="0.3">
      <c r="A129">
        <v>46150</v>
      </c>
      <c r="B129">
        <v>5</v>
      </c>
    </row>
    <row r="130" spans="1:2" x14ac:dyDescent="0.3">
      <c r="A130">
        <v>46151</v>
      </c>
      <c r="B130">
        <v>5</v>
      </c>
    </row>
    <row r="131" spans="1:2" x14ac:dyDescent="0.3">
      <c r="A131">
        <v>46152</v>
      </c>
      <c r="B131">
        <v>5</v>
      </c>
    </row>
    <row r="132" spans="1:2" x14ac:dyDescent="0.3">
      <c r="A132">
        <v>46153</v>
      </c>
      <c r="B132">
        <v>5</v>
      </c>
    </row>
    <row r="133" spans="1:2" x14ac:dyDescent="0.3">
      <c r="A133">
        <v>46154</v>
      </c>
      <c r="B133">
        <v>5</v>
      </c>
    </row>
    <row r="134" spans="1:2" x14ac:dyDescent="0.3">
      <c r="A134">
        <v>46155</v>
      </c>
      <c r="B134">
        <v>6</v>
      </c>
    </row>
    <row r="135" spans="1:2" x14ac:dyDescent="0.3">
      <c r="A135">
        <v>46156</v>
      </c>
      <c r="B135">
        <v>6</v>
      </c>
    </row>
    <row r="136" spans="1:2" x14ac:dyDescent="0.3">
      <c r="A136">
        <v>46157</v>
      </c>
      <c r="B136">
        <v>6</v>
      </c>
    </row>
    <row r="137" spans="1:2" x14ac:dyDescent="0.3">
      <c r="A137">
        <v>46158</v>
      </c>
      <c r="B137">
        <v>6</v>
      </c>
    </row>
    <row r="138" spans="1:2" x14ac:dyDescent="0.3">
      <c r="A138">
        <v>46159</v>
      </c>
      <c r="B138">
        <v>6</v>
      </c>
    </row>
    <row r="139" spans="1:2" x14ac:dyDescent="0.3">
      <c r="A139">
        <v>46160</v>
      </c>
      <c r="B139">
        <v>6</v>
      </c>
    </row>
    <row r="140" spans="1:2" x14ac:dyDescent="0.3">
      <c r="A140">
        <v>46161</v>
      </c>
      <c r="B140">
        <v>6</v>
      </c>
    </row>
    <row r="141" spans="1:2" x14ac:dyDescent="0.3">
      <c r="A141">
        <v>46162</v>
      </c>
      <c r="B141">
        <v>5</v>
      </c>
    </row>
    <row r="142" spans="1:2" x14ac:dyDescent="0.3">
      <c r="A142">
        <v>46163</v>
      </c>
      <c r="B142">
        <v>5</v>
      </c>
    </row>
    <row r="143" spans="1:2" x14ac:dyDescent="0.3">
      <c r="A143">
        <v>46164</v>
      </c>
      <c r="B143">
        <v>5</v>
      </c>
    </row>
    <row r="144" spans="1:2" x14ac:dyDescent="0.3">
      <c r="A144">
        <v>46165</v>
      </c>
      <c r="B144">
        <v>5</v>
      </c>
    </row>
    <row r="145" spans="1:2" x14ac:dyDescent="0.3">
      <c r="A145">
        <v>46166</v>
      </c>
      <c r="B145">
        <v>5</v>
      </c>
    </row>
    <row r="146" spans="1:2" x14ac:dyDescent="0.3">
      <c r="A146">
        <v>46167</v>
      </c>
      <c r="B146">
        <v>5</v>
      </c>
    </row>
    <row r="147" spans="1:2" x14ac:dyDescent="0.3">
      <c r="A147">
        <v>46168</v>
      </c>
      <c r="B147">
        <v>6</v>
      </c>
    </row>
    <row r="148" spans="1:2" x14ac:dyDescent="0.3">
      <c r="A148">
        <v>46169</v>
      </c>
      <c r="B148">
        <v>6</v>
      </c>
    </row>
    <row r="149" spans="1:2" x14ac:dyDescent="0.3">
      <c r="A149">
        <v>46170</v>
      </c>
      <c r="B149">
        <v>6</v>
      </c>
    </row>
    <row r="150" spans="1:2" x14ac:dyDescent="0.3">
      <c r="A150">
        <v>46171</v>
      </c>
      <c r="B150">
        <v>6</v>
      </c>
    </row>
    <row r="151" spans="1:2" x14ac:dyDescent="0.3">
      <c r="A151">
        <v>46172</v>
      </c>
      <c r="B151">
        <v>6</v>
      </c>
    </row>
    <row r="152" spans="1:2" x14ac:dyDescent="0.3">
      <c r="A152">
        <v>46173</v>
      </c>
      <c r="B152">
        <v>6</v>
      </c>
    </row>
    <row r="153" spans="1:2" x14ac:dyDescent="0.3">
      <c r="A153">
        <v>46174</v>
      </c>
      <c r="B153">
        <v>6</v>
      </c>
    </row>
    <row r="154" spans="1:2" x14ac:dyDescent="0.3">
      <c r="A154">
        <v>46175</v>
      </c>
      <c r="B154">
        <v>6</v>
      </c>
    </row>
    <row r="155" spans="1:2" x14ac:dyDescent="0.3">
      <c r="A155">
        <v>46176</v>
      </c>
      <c r="B155">
        <v>6</v>
      </c>
    </row>
    <row r="156" spans="1:2" x14ac:dyDescent="0.3">
      <c r="A156">
        <v>46177</v>
      </c>
      <c r="B156">
        <v>5</v>
      </c>
    </row>
    <row r="157" spans="1:2" x14ac:dyDescent="0.3">
      <c r="A157">
        <v>46178</v>
      </c>
      <c r="B157">
        <v>5</v>
      </c>
    </row>
    <row r="158" spans="1:2" x14ac:dyDescent="0.3">
      <c r="A158">
        <v>46179</v>
      </c>
      <c r="B158">
        <v>5</v>
      </c>
    </row>
    <row r="159" spans="1:2" x14ac:dyDescent="0.3">
      <c r="A159">
        <v>46180</v>
      </c>
      <c r="B159">
        <v>5</v>
      </c>
    </row>
    <row r="160" spans="1:2" x14ac:dyDescent="0.3">
      <c r="A160">
        <v>46181</v>
      </c>
      <c r="B160">
        <v>5</v>
      </c>
    </row>
    <row r="161" spans="1:2" x14ac:dyDescent="0.3">
      <c r="A161">
        <v>46182</v>
      </c>
      <c r="B161">
        <v>5</v>
      </c>
    </row>
    <row r="162" spans="1:2" x14ac:dyDescent="0.3">
      <c r="A162">
        <v>46183</v>
      </c>
      <c r="B162">
        <v>5</v>
      </c>
    </row>
    <row r="163" spans="1:2" x14ac:dyDescent="0.3">
      <c r="A163">
        <v>46184</v>
      </c>
      <c r="B163">
        <v>4</v>
      </c>
    </row>
    <row r="164" spans="1:2" x14ac:dyDescent="0.3">
      <c r="A164">
        <v>46185</v>
      </c>
      <c r="B164">
        <v>4</v>
      </c>
    </row>
    <row r="165" spans="1:2" x14ac:dyDescent="0.3">
      <c r="A165">
        <v>46186</v>
      </c>
      <c r="B165">
        <v>4</v>
      </c>
    </row>
    <row r="166" spans="1:2" x14ac:dyDescent="0.3">
      <c r="A166">
        <v>46187</v>
      </c>
      <c r="B166">
        <v>4</v>
      </c>
    </row>
    <row r="167" spans="1:2" x14ac:dyDescent="0.3">
      <c r="A167">
        <v>46188</v>
      </c>
      <c r="B167">
        <v>5</v>
      </c>
    </row>
    <row r="168" spans="1:2" x14ac:dyDescent="0.3">
      <c r="A168">
        <v>46189</v>
      </c>
      <c r="B168">
        <v>5</v>
      </c>
    </row>
    <row r="169" spans="1:2" x14ac:dyDescent="0.3">
      <c r="A169">
        <v>46190</v>
      </c>
      <c r="B169">
        <v>4</v>
      </c>
    </row>
    <row r="170" spans="1:2" x14ac:dyDescent="0.3">
      <c r="A170">
        <v>46191</v>
      </c>
      <c r="B170">
        <v>4</v>
      </c>
    </row>
    <row r="171" spans="1:2" x14ac:dyDescent="0.3">
      <c r="A171">
        <v>46192</v>
      </c>
      <c r="B171">
        <v>4</v>
      </c>
    </row>
    <row r="172" spans="1:2" x14ac:dyDescent="0.3">
      <c r="A172">
        <v>46193</v>
      </c>
      <c r="B172">
        <v>3</v>
      </c>
    </row>
    <row r="173" spans="1:2" x14ac:dyDescent="0.3">
      <c r="A173">
        <v>46194</v>
      </c>
      <c r="B173">
        <v>3</v>
      </c>
    </row>
    <row r="174" spans="1:2" x14ac:dyDescent="0.3">
      <c r="A174">
        <v>46195</v>
      </c>
      <c r="B174">
        <v>3</v>
      </c>
    </row>
    <row r="175" spans="1:2" x14ac:dyDescent="0.3">
      <c r="A175">
        <v>46196</v>
      </c>
      <c r="B175">
        <v>3</v>
      </c>
    </row>
    <row r="176" spans="1:2" x14ac:dyDescent="0.3">
      <c r="A176">
        <v>46197</v>
      </c>
      <c r="B176">
        <v>4</v>
      </c>
    </row>
    <row r="177" spans="1:2" x14ac:dyDescent="0.3">
      <c r="A177">
        <v>46198</v>
      </c>
      <c r="B177">
        <v>5</v>
      </c>
    </row>
    <row r="178" spans="1:2" x14ac:dyDescent="0.3">
      <c r="A178">
        <v>46199</v>
      </c>
      <c r="B178">
        <v>5</v>
      </c>
    </row>
    <row r="179" spans="1:2" x14ac:dyDescent="0.3">
      <c r="A179">
        <v>46200</v>
      </c>
      <c r="B179">
        <v>6</v>
      </c>
    </row>
    <row r="180" spans="1:2" x14ac:dyDescent="0.3">
      <c r="A180">
        <v>46201</v>
      </c>
      <c r="B180">
        <v>6</v>
      </c>
    </row>
    <row r="181" spans="1:2" x14ac:dyDescent="0.3">
      <c r="A181">
        <v>46202</v>
      </c>
      <c r="B181">
        <v>6</v>
      </c>
    </row>
    <row r="182" spans="1:2" x14ac:dyDescent="0.3">
      <c r="A182">
        <v>46203</v>
      </c>
      <c r="B182">
        <v>6</v>
      </c>
    </row>
    <row r="183" spans="1:2" x14ac:dyDescent="0.3">
      <c r="A183">
        <v>46204</v>
      </c>
      <c r="B183">
        <v>6</v>
      </c>
    </row>
    <row r="184" spans="1:2" x14ac:dyDescent="0.3">
      <c r="A184">
        <v>46205</v>
      </c>
      <c r="B184">
        <v>6</v>
      </c>
    </row>
    <row r="185" spans="1:2" x14ac:dyDescent="0.3">
      <c r="A185">
        <v>46206</v>
      </c>
      <c r="B185">
        <v>6</v>
      </c>
    </row>
    <row r="186" spans="1:2" x14ac:dyDescent="0.3">
      <c r="A186">
        <v>46207</v>
      </c>
      <c r="B186">
        <v>6</v>
      </c>
    </row>
    <row r="187" spans="1:2" x14ac:dyDescent="0.3">
      <c r="A187">
        <v>46208</v>
      </c>
      <c r="B187">
        <v>6</v>
      </c>
    </row>
    <row r="188" spans="1:2" x14ac:dyDescent="0.3">
      <c r="A188">
        <v>46209</v>
      </c>
      <c r="B188">
        <v>6</v>
      </c>
    </row>
    <row r="189" spans="1:2" x14ac:dyDescent="0.3">
      <c r="A189">
        <v>46210</v>
      </c>
      <c r="B189">
        <v>6</v>
      </c>
    </row>
    <row r="190" spans="1:2" x14ac:dyDescent="0.3">
      <c r="A190">
        <v>46211</v>
      </c>
      <c r="B190">
        <v>6</v>
      </c>
    </row>
    <row r="191" spans="1:2" x14ac:dyDescent="0.3">
      <c r="A191">
        <v>46212</v>
      </c>
      <c r="B191">
        <v>6</v>
      </c>
    </row>
    <row r="192" spans="1:2" x14ac:dyDescent="0.3">
      <c r="A192">
        <v>46213</v>
      </c>
      <c r="B192">
        <v>6</v>
      </c>
    </row>
    <row r="193" spans="1:2" x14ac:dyDescent="0.3">
      <c r="A193">
        <v>46214</v>
      </c>
      <c r="B193">
        <v>6</v>
      </c>
    </row>
    <row r="194" spans="1:2" x14ac:dyDescent="0.3">
      <c r="A194">
        <v>46215</v>
      </c>
      <c r="B194">
        <v>6</v>
      </c>
    </row>
    <row r="195" spans="1:2" x14ac:dyDescent="0.3">
      <c r="A195">
        <v>46216</v>
      </c>
      <c r="B195">
        <v>6</v>
      </c>
    </row>
    <row r="196" spans="1:2" x14ac:dyDescent="0.3">
      <c r="A196">
        <v>46217</v>
      </c>
      <c r="B196">
        <v>6</v>
      </c>
    </row>
    <row r="197" spans="1:2" x14ac:dyDescent="0.3">
      <c r="A197">
        <v>46218</v>
      </c>
      <c r="B197">
        <v>6</v>
      </c>
    </row>
    <row r="198" spans="1:2" x14ac:dyDescent="0.3">
      <c r="A198">
        <v>46219</v>
      </c>
      <c r="B198">
        <v>6</v>
      </c>
    </row>
    <row r="199" spans="1:2" x14ac:dyDescent="0.3">
      <c r="A199">
        <v>46220</v>
      </c>
      <c r="B199">
        <v>6</v>
      </c>
    </row>
    <row r="200" spans="1:2" x14ac:dyDescent="0.3">
      <c r="A200">
        <v>46221</v>
      </c>
      <c r="B200">
        <v>6</v>
      </c>
    </row>
    <row r="201" spans="1:2" x14ac:dyDescent="0.3">
      <c r="A201">
        <v>46222</v>
      </c>
      <c r="B201">
        <v>6</v>
      </c>
    </row>
    <row r="202" spans="1:2" x14ac:dyDescent="0.3">
      <c r="A202">
        <v>46223</v>
      </c>
      <c r="B202">
        <v>6</v>
      </c>
    </row>
    <row r="203" spans="1:2" x14ac:dyDescent="0.3">
      <c r="A203">
        <v>46224</v>
      </c>
      <c r="B203">
        <v>6</v>
      </c>
    </row>
    <row r="204" spans="1:2" x14ac:dyDescent="0.3">
      <c r="A204">
        <v>46225</v>
      </c>
      <c r="B204">
        <v>6</v>
      </c>
    </row>
    <row r="205" spans="1:2" x14ac:dyDescent="0.3">
      <c r="A205">
        <v>46226</v>
      </c>
      <c r="B205">
        <v>6</v>
      </c>
    </row>
    <row r="206" spans="1:2" x14ac:dyDescent="0.3">
      <c r="A206">
        <v>46227</v>
      </c>
      <c r="B206">
        <v>6</v>
      </c>
    </row>
    <row r="207" spans="1:2" x14ac:dyDescent="0.3">
      <c r="A207">
        <v>46228</v>
      </c>
      <c r="B207">
        <v>6</v>
      </c>
    </row>
    <row r="208" spans="1:2" x14ac:dyDescent="0.3">
      <c r="A208">
        <v>46229</v>
      </c>
      <c r="B208">
        <v>6</v>
      </c>
    </row>
    <row r="209" spans="1:2" x14ac:dyDescent="0.3">
      <c r="A209">
        <v>46230</v>
      </c>
      <c r="B209">
        <v>6</v>
      </c>
    </row>
    <row r="210" spans="1:2" x14ac:dyDescent="0.3">
      <c r="A210">
        <v>46231</v>
      </c>
      <c r="B210">
        <v>6</v>
      </c>
    </row>
    <row r="211" spans="1:2" x14ac:dyDescent="0.3">
      <c r="A211">
        <v>46232</v>
      </c>
      <c r="B211">
        <v>6</v>
      </c>
    </row>
    <row r="212" spans="1:2" x14ac:dyDescent="0.3">
      <c r="A212">
        <v>46233</v>
      </c>
      <c r="B212">
        <v>6</v>
      </c>
    </row>
    <row r="213" spans="1:2" x14ac:dyDescent="0.3">
      <c r="A213">
        <v>46234</v>
      </c>
      <c r="B213">
        <v>6</v>
      </c>
    </row>
    <row r="214" spans="1:2" x14ac:dyDescent="0.3">
      <c r="A214">
        <v>46235</v>
      </c>
      <c r="B214">
        <v>6</v>
      </c>
    </row>
    <row r="215" spans="1:2" x14ac:dyDescent="0.3">
      <c r="A215">
        <v>46236</v>
      </c>
      <c r="B215">
        <v>6</v>
      </c>
    </row>
    <row r="216" spans="1:2" x14ac:dyDescent="0.3">
      <c r="A216">
        <v>46237</v>
      </c>
      <c r="B216">
        <v>6</v>
      </c>
    </row>
    <row r="217" spans="1:2" x14ac:dyDescent="0.3">
      <c r="A217">
        <v>46238</v>
      </c>
      <c r="B217">
        <v>6</v>
      </c>
    </row>
    <row r="218" spans="1:2" x14ac:dyDescent="0.3">
      <c r="A218">
        <v>46239</v>
      </c>
      <c r="B218">
        <v>6</v>
      </c>
    </row>
    <row r="219" spans="1:2" x14ac:dyDescent="0.3">
      <c r="A219">
        <v>46240</v>
      </c>
      <c r="B219">
        <v>5</v>
      </c>
    </row>
    <row r="220" spans="1:2" x14ac:dyDescent="0.3">
      <c r="A220">
        <v>46241</v>
      </c>
      <c r="B220">
        <v>5</v>
      </c>
    </row>
    <row r="221" spans="1:2" x14ac:dyDescent="0.3">
      <c r="A221">
        <v>46242</v>
      </c>
      <c r="B221">
        <v>5</v>
      </c>
    </row>
    <row r="222" spans="1:2" x14ac:dyDescent="0.3">
      <c r="A222">
        <v>46243</v>
      </c>
      <c r="B222">
        <v>5</v>
      </c>
    </row>
    <row r="223" spans="1:2" x14ac:dyDescent="0.3">
      <c r="A223">
        <v>46244</v>
      </c>
      <c r="B223">
        <v>5</v>
      </c>
    </row>
    <row r="224" spans="1:2" x14ac:dyDescent="0.3">
      <c r="A224">
        <v>46245</v>
      </c>
      <c r="B224">
        <v>6</v>
      </c>
    </row>
    <row r="225" spans="1:2" x14ac:dyDescent="0.3">
      <c r="A225">
        <v>46246</v>
      </c>
      <c r="B225">
        <v>6</v>
      </c>
    </row>
    <row r="226" spans="1:2" x14ac:dyDescent="0.3">
      <c r="A226">
        <v>46247</v>
      </c>
      <c r="B226">
        <v>6</v>
      </c>
    </row>
    <row r="227" spans="1:2" x14ac:dyDescent="0.3">
      <c r="A227">
        <v>46248</v>
      </c>
      <c r="B227">
        <v>6</v>
      </c>
    </row>
    <row r="228" spans="1:2" x14ac:dyDescent="0.3">
      <c r="A228">
        <v>46249</v>
      </c>
      <c r="B228">
        <v>6</v>
      </c>
    </row>
    <row r="229" spans="1:2" x14ac:dyDescent="0.3">
      <c r="A229">
        <v>46250</v>
      </c>
      <c r="B229">
        <v>6</v>
      </c>
    </row>
    <row r="230" spans="1:2" x14ac:dyDescent="0.3">
      <c r="A230">
        <v>46251</v>
      </c>
      <c r="B230">
        <v>6</v>
      </c>
    </row>
    <row r="231" spans="1:2" x14ac:dyDescent="0.3">
      <c r="A231">
        <v>46252</v>
      </c>
      <c r="B231">
        <v>6</v>
      </c>
    </row>
    <row r="232" spans="1:2" x14ac:dyDescent="0.3">
      <c r="A232">
        <v>46253</v>
      </c>
      <c r="B232">
        <v>6</v>
      </c>
    </row>
    <row r="233" spans="1:2" x14ac:dyDescent="0.3">
      <c r="A233">
        <v>46254</v>
      </c>
      <c r="B233">
        <v>6</v>
      </c>
    </row>
    <row r="234" spans="1:2" x14ac:dyDescent="0.3">
      <c r="A234">
        <v>46255</v>
      </c>
      <c r="B234">
        <v>6</v>
      </c>
    </row>
    <row r="235" spans="1:2" x14ac:dyDescent="0.3">
      <c r="A235">
        <v>46256</v>
      </c>
      <c r="B235">
        <v>6</v>
      </c>
    </row>
    <row r="236" spans="1:2" x14ac:dyDescent="0.3">
      <c r="A236">
        <v>46257</v>
      </c>
      <c r="B236">
        <v>6</v>
      </c>
    </row>
    <row r="237" spans="1:2" x14ac:dyDescent="0.3">
      <c r="A237">
        <v>46258</v>
      </c>
      <c r="B237">
        <v>6</v>
      </c>
    </row>
    <row r="238" spans="1:2" x14ac:dyDescent="0.3">
      <c r="A238">
        <v>46259</v>
      </c>
      <c r="B238">
        <v>6</v>
      </c>
    </row>
    <row r="239" spans="1:2" x14ac:dyDescent="0.3">
      <c r="A239">
        <v>46260</v>
      </c>
      <c r="B239">
        <v>6</v>
      </c>
    </row>
    <row r="240" spans="1:2" x14ac:dyDescent="0.3">
      <c r="A240">
        <v>46261</v>
      </c>
      <c r="B240">
        <v>6</v>
      </c>
    </row>
    <row r="241" spans="1:2" x14ac:dyDescent="0.3">
      <c r="A241">
        <v>46262</v>
      </c>
      <c r="B241">
        <v>6</v>
      </c>
    </row>
    <row r="242" spans="1:2" x14ac:dyDescent="0.3">
      <c r="A242">
        <v>46263</v>
      </c>
      <c r="B242">
        <v>6</v>
      </c>
    </row>
    <row r="243" spans="1:2" x14ac:dyDescent="0.3">
      <c r="A243">
        <v>46264</v>
      </c>
      <c r="B243">
        <v>6</v>
      </c>
    </row>
    <row r="244" spans="1:2" x14ac:dyDescent="0.3">
      <c r="A244">
        <v>46265</v>
      </c>
      <c r="B244">
        <v>6</v>
      </c>
    </row>
    <row r="245" spans="1:2" x14ac:dyDescent="0.3">
      <c r="A245">
        <v>46266</v>
      </c>
      <c r="B245">
        <v>6</v>
      </c>
    </row>
    <row r="246" spans="1:2" x14ac:dyDescent="0.3">
      <c r="A246">
        <v>46267</v>
      </c>
      <c r="B246">
        <v>6</v>
      </c>
    </row>
    <row r="247" spans="1:2" x14ac:dyDescent="0.3">
      <c r="A247">
        <v>46268</v>
      </c>
      <c r="B247">
        <v>6</v>
      </c>
    </row>
    <row r="248" spans="1:2" x14ac:dyDescent="0.3">
      <c r="A248">
        <v>46269</v>
      </c>
      <c r="B248">
        <v>6</v>
      </c>
    </row>
    <row r="249" spans="1:2" x14ac:dyDescent="0.3">
      <c r="A249">
        <v>46270</v>
      </c>
      <c r="B249">
        <v>5</v>
      </c>
    </row>
    <row r="250" spans="1:2" x14ac:dyDescent="0.3">
      <c r="A250">
        <v>46271</v>
      </c>
      <c r="B250">
        <v>5</v>
      </c>
    </row>
    <row r="251" spans="1:2" x14ac:dyDescent="0.3">
      <c r="A251">
        <v>46272</v>
      </c>
      <c r="B251">
        <v>5</v>
      </c>
    </row>
    <row r="252" spans="1:2" x14ac:dyDescent="0.3">
      <c r="A252">
        <v>46273</v>
      </c>
      <c r="B252">
        <v>5</v>
      </c>
    </row>
    <row r="253" spans="1:2" x14ac:dyDescent="0.3">
      <c r="A253">
        <v>46274</v>
      </c>
      <c r="B253">
        <v>5</v>
      </c>
    </row>
    <row r="254" spans="1:2" x14ac:dyDescent="0.3">
      <c r="A254">
        <v>46275</v>
      </c>
      <c r="B254">
        <v>5</v>
      </c>
    </row>
    <row r="255" spans="1:2" x14ac:dyDescent="0.3">
      <c r="A255">
        <v>46276</v>
      </c>
      <c r="B255">
        <v>5</v>
      </c>
    </row>
    <row r="256" spans="1:2" x14ac:dyDescent="0.3">
      <c r="A256">
        <v>46277</v>
      </c>
      <c r="B256">
        <v>4</v>
      </c>
    </row>
    <row r="257" spans="1:2" x14ac:dyDescent="0.3">
      <c r="A257">
        <v>46278</v>
      </c>
      <c r="B257">
        <v>4</v>
      </c>
    </row>
    <row r="258" spans="1:2" x14ac:dyDescent="0.3">
      <c r="A258">
        <v>46279</v>
      </c>
      <c r="B258">
        <v>5</v>
      </c>
    </row>
    <row r="259" spans="1:2" x14ac:dyDescent="0.3">
      <c r="A259">
        <v>46280</v>
      </c>
      <c r="B259">
        <v>5</v>
      </c>
    </row>
    <row r="260" spans="1:2" x14ac:dyDescent="0.3">
      <c r="A260">
        <v>46281</v>
      </c>
      <c r="B260">
        <v>5</v>
      </c>
    </row>
    <row r="261" spans="1:2" x14ac:dyDescent="0.3">
      <c r="A261">
        <v>46282</v>
      </c>
      <c r="B261">
        <v>5</v>
      </c>
    </row>
    <row r="262" spans="1:2" x14ac:dyDescent="0.3">
      <c r="A262">
        <v>46283</v>
      </c>
      <c r="B262">
        <v>5</v>
      </c>
    </row>
    <row r="263" spans="1:2" x14ac:dyDescent="0.3">
      <c r="A263">
        <v>46284</v>
      </c>
      <c r="B263">
        <v>5</v>
      </c>
    </row>
    <row r="264" spans="1:2" x14ac:dyDescent="0.3">
      <c r="A264">
        <v>46285</v>
      </c>
      <c r="B264">
        <v>5</v>
      </c>
    </row>
    <row r="265" spans="1:2" x14ac:dyDescent="0.3">
      <c r="A265">
        <v>46286</v>
      </c>
      <c r="B265">
        <v>5</v>
      </c>
    </row>
    <row r="266" spans="1:2" x14ac:dyDescent="0.3">
      <c r="A266">
        <v>46287</v>
      </c>
      <c r="B266">
        <v>6</v>
      </c>
    </row>
    <row r="267" spans="1:2" x14ac:dyDescent="0.3">
      <c r="A267">
        <v>46288</v>
      </c>
      <c r="B267">
        <v>6</v>
      </c>
    </row>
    <row r="268" spans="1:2" x14ac:dyDescent="0.3">
      <c r="A268">
        <v>46289</v>
      </c>
      <c r="B268">
        <v>6</v>
      </c>
    </row>
    <row r="269" spans="1:2" x14ac:dyDescent="0.3">
      <c r="A269">
        <v>46290</v>
      </c>
      <c r="B269">
        <v>6</v>
      </c>
    </row>
    <row r="270" spans="1:2" x14ac:dyDescent="0.3">
      <c r="A270">
        <v>46291</v>
      </c>
      <c r="B270">
        <v>6</v>
      </c>
    </row>
    <row r="271" spans="1:2" x14ac:dyDescent="0.3">
      <c r="A271">
        <v>46292</v>
      </c>
      <c r="B271">
        <v>6</v>
      </c>
    </row>
    <row r="272" spans="1:2" x14ac:dyDescent="0.3">
      <c r="A272">
        <v>46293</v>
      </c>
      <c r="B272">
        <v>6</v>
      </c>
    </row>
    <row r="273" spans="1:2" x14ac:dyDescent="0.3">
      <c r="A273">
        <v>46294</v>
      </c>
      <c r="B273">
        <v>6</v>
      </c>
    </row>
    <row r="274" spans="1:2" x14ac:dyDescent="0.3">
      <c r="A274">
        <v>46295</v>
      </c>
      <c r="B274">
        <v>6</v>
      </c>
    </row>
    <row r="275" spans="1:2" x14ac:dyDescent="0.3">
      <c r="A275">
        <v>46296</v>
      </c>
      <c r="B275">
        <v>6</v>
      </c>
    </row>
    <row r="276" spans="1:2" x14ac:dyDescent="0.3">
      <c r="A276">
        <v>46297</v>
      </c>
      <c r="B276">
        <v>6</v>
      </c>
    </row>
    <row r="277" spans="1:2" x14ac:dyDescent="0.3">
      <c r="A277">
        <v>46298</v>
      </c>
      <c r="B277">
        <v>6</v>
      </c>
    </row>
    <row r="278" spans="1:2" x14ac:dyDescent="0.3">
      <c r="A278">
        <v>46299</v>
      </c>
      <c r="B278">
        <v>6</v>
      </c>
    </row>
    <row r="279" spans="1:2" x14ac:dyDescent="0.3">
      <c r="A279">
        <v>46300</v>
      </c>
      <c r="B279">
        <v>6</v>
      </c>
    </row>
    <row r="280" spans="1:2" x14ac:dyDescent="0.3">
      <c r="A280">
        <v>46301</v>
      </c>
      <c r="B280">
        <v>6</v>
      </c>
    </row>
    <row r="281" spans="1:2" x14ac:dyDescent="0.3">
      <c r="A281">
        <v>46302</v>
      </c>
      <c r="B281">
        <v>6</v>
      </c>
    </row>
    <row r="282" spans="1:2" x14ac:dyDescent="0.3">
      <c r="A282">
        <v>46303</v>
      </c>
      <c r="B282">
        <v>6</v>
      </c>
    </row>
    <row r="283" spans="1:2" x14ac:dyDescent="0.3">
      <c r="A283">
        <v>46304</v>
      </c>
      <c r="B283">
        <v>6</v>
      </c>
    </row>
    <row r="284" spans="1:2" x14ac:dyDescent="0.3">
      <c r="A284">
        <v>46305</v>
      </c>
      <c r="B284">
        <v>6</v>
      </c>
    </row>
    <row r="285" spans="1:2" x14ac:dyDescent="0.3">
      <c r="A285">
        <v>46306</v>
      </c>
      <c r="B285">
        <v>6</v>
      </c>
    </row>
    <row r="286" spans="1:2" x14ac:dyDescent="0.3">
      <c r="A286">
        <v>46307</v>
      </c>
      <c r="B286">
        <v>6</v>
      </c>
    </row>
    <row r="287" spans="1:2" x14ac:dyDescent="0.3">
      <c r="A287">
        <v>46308</v>
      </c>
      <c r="B287">
        <v>6</v>
      </c>
    </row>
    <row r="288" spans="1:2" x14ac:dyDescent="0.3">
      <c r="A288">
        <v>46309</v>
      </c>
      <c r="B288">
        <v>6</v>
      </c>
    </row>
    <row r="289" spans="1:2" x14ac:dyDescent="0.3">
      <c r="A289">
        <v>46310</v>
      </c>
      <c r="B289">
        <v>6</v>
      </c>
    </row>
    <row r="290" spans="1:2" x14ac:dyDescent="0.3">
      <c r="A290">
        <v>46311</v>
      </c>
      <c r="B290">
        <v>6</v>
      </c>
    </row>
    <row r="291" spans="1:2" x14ac:dyDescent="0.3">
      <c r="A291">
        <v>46312</v>
      </c>
      <c r="B291">
        <v>6</v>
      </c>
    </row>
    <row r="292" spans="1:2" x14ac:dyDescent="0.3">
      <c r="A292">
        <v>46313</v>
      </c>
      <c r="B292">
        <v>6</v>
      </c>
    </row>
    <row r="293" spans="1:2" x14ac:dyDescent="0.3">
      <c r="A293">
        <v>46314</v>
      </c>
      <c r="B293">
        <v>6</v>
      </c>
    </row>
    <row r="294" spans="1:2" x14ac:dyDescent="0.3">
      <c r="A294">
        <v>46315</v>
      </c>
      <c r="B294">
        <v>6</v>
      </c>
    </row>
    <row r="295" spans="1:2" x14ac:dyDescent="0.3">
      <c r="A295">
        <v>46316</v>
      </c>
      <c r="B295">
        <v>6</v>
      </c>
    </row>
    <row r="296" spans="1:2" x14ac:dyDescent="0.3">
      <c r="A296">
        <v>46317</v>
      </c>
      <c r="B296">
        <v>6</v>
      </c>
    </row>
    <row r="297" spans="1:2" x14ac:dyDescent="0.3">
      <c r="A297">
        <v>46318</v>
      </c>
      <c r="B297">
        <v>6</v>
      </c>
    </row>
    <row r="298" spans="1:2" x14ac:dyDescent="0.3">
      <c r="A298">
        <v>46319</v>
      </c>
      <c r="B298">
        <v>6</v>
      </c>
    </row>
    <row r="299" spans="1:2" x14ac:dyDescent="0.3">
      <c r="A299">
        <v>46320</v>
      </c>
      <c r="B299">
        <v>6</v>
      </c>
    </row>
    <row r="300" spans="1:2" x14ac:dyDescent="0.3">
      <c r="A300">
        <v>46321</v>
      </c>
      <c r="B300">
        <v>6</v>
      </c>
    </row>
    <row r="301" spans="1:2" x14ac:dyDescent="0.3">
      <c r="A301">
        <v>46322</v>
      </c>
      <c r="B301">
        <v>6</v>
      </c>
    </row>
    <row r="302" spans="1:2" x14ac:dyDescent="0.3">
      <c r="A302">
        <v>46323</v>
      </c>
      <c r="B302">
        <v>6</v>
      </c>
    </row>
    <row r="303" spans="1:2" x14ac:dyDescent="0.3">
      <c r="A303">
        <v>46324</v>
      </c>
      <c r="B303">
        <v>6</v>
      </c>
    </row>
    <row r="304" spans="1:2" x14ac:dyDescent="0.3">
      <c r="A304">
        <v>46325</v>
      </c>
      <c r="B304">
        <v>6</v>
      </c>
    </row>
    <row r="305" spans="1:2" x14ac:dyDescent="0.3">
      <c r="A305">
        <v>46326</v>
      </c>
      <c r="B305">
        <v>6</v>
      </c>
    </row>
    <row r="306" spans="1:2" x14ac:dyDescent="0.3">
      <c r="A306">
        <v>46327</v>
      </c>
      <c r="B306">
        <v>6</v>
      </c>
    </row>
    <row r="307" spans="1:2" x14ac:dyDescent="0.3">
      <c r="A307">
        <v>46328</v>
      </c>
      <c r="B307">
        <v>6</v>
      </c>
    </row>
    <row r="308" spans="1:2" x14ac:dyDescent="0.3">
      <c r="A308">
        <v>46329</v>
      </c>
      <c r="B308">
        <v>6</v>
      </c>
    </row>
    <row r="309" spans="1:2" x14ac:dyDescent="0.3">
      <c r="A309">
        <v>46330</v>
      </c>
      <c r="B309">
        <v>6</v>
      </c>
    </row>
    <row r="310" spans="1:2" x14ac:dyDescent="0.3">
      <c r="A310">
        <v>46331</v>
      </c>
      <c r="B310">
        <v>6</v>
      </c>
    </row>
    <row r="311" spans="1:2" x14ac:dyDescent="0.3">
      <c r="A311">
        <v>46332</v>
      </c>
      <c r="B311">
        <v>6</v>
      </c>
    </row>
    <row r="312" spans="1:2" x14ac:dyDescent="0.3">
      <c r="A312">
        <v>46333</v>
      </c>
      <c r="B312">
        <v>6</v>
      </c>
    </row>
    <row r="313" spans="1:2" x14ac:dyDescent="0.3">
      <c r="A313">
        <v>46334</v>
      </c>
      <c r="B313">
        <v>6</v>
      </c>
    </row>
    <row r="314" spans="1:2" x14ac:dyDescent="0.3">
      <c r="A314">
        <v>46335</v>
      </c>
      <c r="B314">
        <v>6</v>
      </c>
    </row>
    <row r="315" spans="1:2" x14ac:dyDescent="0.3">
      <c r="A315">
        <v>46336</v>
      </c>
      <c r="B315">
        <v>6</v>
      </c>
    </row>
    <row r="316" spans="1:2" x14ac:dyDescent="0.3">
      <c r="A316">
        <v>46337</v>
      </c>
      <c r="B316">
        <v>6</v>
      </c>
    </row>
    <row r="317" spans="1:2" x14ac:dyDescent="0.3">
      <c r="A317">
        <v>46338</v>
      </c>
      <c r="B317">
        <v>6</v>
      </c>
    </row>
    <row r="318" spans="1:2" x14ac:dyDescent="0.3">
      <c r="A318">
        <v>46339</v>
      </c>
      <c r="B318">
        <v>6</v>
      </c>
    </row>
    <row r="319" spans="1:2" x14ac:dyDescent="0.3">
      <c r="A319">
        <v>46340</v>
      </c>
      <c r="B319">
        <v>6</v>
      </c>
    </row>
    <row r="320" spans="1:2" x14ac:dyDescent="0.3">
      <c r="A320">
        <v>46341</v>
      </c>
      <c r="B320">
        <v>6</v>
      </c>
    </row>
    <row r="321" spans="1:2" x14ac:dyDescent="0.3">
      <c r="A321">
        <v>46342</v>
      </c>
      <c r="B321">
        <v>6</v>
      </c>
    </row>
    <row r="322" spans="1:2" x14ac:dyDescent="0.3">
      <c r="A322">
        <v>46343</v>
      </c>
      <c r="B322">
        <v>6</v>
      </c>
    </row>
    <row r="323" spans="1:2" x14ac:dyDescent="0.3">
      <c r="A323">
        <v>46344</v>
      </c>
      <c r="B323">
        <v>6</v>
      </c>
    </row>
    <row r="324" spans="1:2" x14ac:dyDescent="0.3">
      <c r="A324">
        <v>46345</v>
      </c>
      <c r="B324">
        <v>6</v>
      </c>
    </row>
    <row r="325" spans="1:2" x14ac:dyDescent="0.3">
      <c r="A325">
        <v>46346</v>
      </c>
      <c r="B325">
        <v>6</v>
      </c>
    </row>
    <row r="326" spans="1:2" x14ac:dyDescent="0.3">
      <c r="A326">
        <v>46347</v>
      </c>
      <c r="B326">
        <v>6</v>
      </c>
    </row>
    <row r="327" spans="1:2" x14ac:dyDescent="0.3">
      <c r="A327">
        <v>46348</v>
      </c>
      <c r="B327">
        <v>6</v>
      </c>
    </row>
    <row r="328" spans="1:2" x14ac:dyDescent="0.3">
      <c r="A328">
        <v>46349</v>
      </c>
      <c r="B328">
        <v>6</v>
      </c>
    </row>
    <row r="329" spans="1:2" x14ac:dyDescent="0.3">
      <c r="A329">
        <v>46350</v>
      </c>
      <c r="B329">
        <v>6</v>
      </c>
    </row>
    <row r="330" spans="1:2" x14ac:dyDescent="0.3">
      <c r="A330">
        <v>46351</v>
      </c>
      <c r="B330">
        <v>5</v>
      </c>
    </row>
    <row r="331" spans="1:2" x14ac:dyDescent="0.3">
      <c r="A331">
        <v>46352</v>
      </c>
      <c r="B331">
        <v>5</v>
      </c>
    </row>
    <row r="332" spans="1:2" x14ac:dyDescent="0.3">
      <c r="A332">
        <v>46353</v>
      </c>
      <c r="B332">
        <v>3</v>
      </c>
    </row>
    <row r="333" spans="1:2" x14ac:dyDescent="0.3">
      <c r="A333">
        <v>46354</v>
      </c>
      <c r="B333">
        <v>3</v>
      </c>
    </row>
    <row r="334" spans="1:2" x14ac:dyDescent="0.3">
      <c r="A334">
        <v>46355</v>
      </c>
      <c r="B334">
        <v>3</v>
      </c>
    </row>
    <row r="335" spans="1:2" x14ac:dyDescent="0.3">
      <c r="A335">
        <v>46356</v>
      </c>
      <c r="B335">
        <v>3</v>
      </c>
    </row>
    <row r="336" spans="1:2" x14ac:dyDescent="0.3">
      <c r="A336">
        <v>46357</v>
      </c>
      <c r="B336">
        <v>3</v>
      </c>
    </row>
    <row r="337" spans="1:2" x14ac:dyDescent="0.3">
      <c r="A337">
        <v>46358</v>
      </c>
      <c r="B337">
        <v>3</v>
      </c>
    </row>
    <row r="338" spans="1:2" x14ac:dyDescent="0.3">
      <c r="A338">
        <v>46359</v>
      </c>
      <c r="B338">
        <v>3</v>
      </c>
    </row>
    <row r="339" spans="1:2" x14ac:dyDescent="0.3">
      <c r="A339">
        <v>46360</v>
      </c>
      <c r="B339">
        <v>2</v>
      </c>
    </row>
    <row r="340" spans="1:2" x14ac:dyDescent="0.3">
      <c r="A340">
        <v>46361</v>
      </c>
      <c r="B340">
        <v>2</v>
      </c>
    </row>
    <row r="341" spans="1:2" x14ac:dyDescent="0.3">
      <c r="A341">
        <v>46362</v>
      </c>
      <c r="B341">
        <v>2</v>
      </c>
    </row>
    <row r="342" spans="1:2" x14ac:dyDescent="0.3">
      <c r="A342">
        <v>46363</v>
      </c>
      <c r="B342">
        <v>3</v>
      </c>
    </row>
    <row r="343" spans="1:2" x14ac:dyDescent="0.3">
      <c r="A343">
        <v>46364</v>
      </c>
      <c r="B343">
        <v>3</v>
      </c>
    </row>
    <row r="344" spans="1:2" x14ac:dyDescent="0.3">
      <c r="A344">
        <v>46365</v>
      </c>
      <c r="B344">
        <v>3</v>
      </c>
    </row>
    <row r="345" spans="1:2" x14ac:dyDescent="0.3">
      <c r="A345">
        <v>46366</v>
      </c>
      <c r="B345">
        <v>3</v>
      </c>
    </row>
    <row r="346" spans="1:2" x14ac:dyDescent="0.3">
      <c r="A346">
        <v>46367</v>
      </c>
      <c r="B346">
        <v>4</v>
      </c>
    </row>
    <row r="347" spans="1:2" x14ac:dyDescent="0.3">
      <c r="A347">
        <v>46368</v>
      </c>
      <c r="B347">
        <v>4</v>
      </c>
    </row>
    <row r="348" spans="1:2" x14ac:dyDescent="0.3">
      <c r="A348">
        <v>46369</v>
      </c>
      <c r="B348">
        <v>4</v>
      </c>
    </row>
    <row r="349" spans="1:2" x14ac:dyDescent="0.3">
      <c r="A349">
        <v>46370</v>
      </c>
      <c r="B349">
        <v>4</v>
      </c>
    </row>
    <row r="350" spans="1:2" x14ac:dyDescent="0.3">
      <c r="A350">
        <v>46371</v>
      </c>
      <c r="B350">
        <v>4</v>
      </c>
    </row>
    <row r="351" spans="1:2" x14ac:dyDescent="0.3">
      <c r="A351">
        <v>46372</v>
      </c>
      <c r="B351">
        <v>4</v>
      </c>
    </row>
    <row r="352" spans="1:2" x14ac:dyDescent="0.3">
      <c r="A352">
        <v>46373</v>
      </c>
      <c r="B352">
        <v>4</v>
      </c>
    </row>
    <row r="353" spans="1:2" x14ac:dyDescent="0.3">
      <c r="A353">
        <v>46374</v>
      </c>
      <c r="B353">
        <v>4</v>
      </c>
    </row>
    <row r="354" spans="1:2" x14ac:dyDescent="0.3">
      <c r="A354">
        <v>46375</v>
      </c>
      <c r="B354">
        <v>3</v>
      </c>
    </row>
    <row r="355" spans="1:2" x14ac:dyDescent="0.3">
      <c r="A355">
        <v>46376</v>
      </c>
      <c r="B355">
        <v>4</v>
      </c>
    </row>
    <row r="356" spans="1:2" x14ac:dyDescent="0.3">
      <c r="A356">
        <v>46377</v>
      </c>
      <c r="B356">
        <v>5</v>
      </c>
    </row>
    <row r="357" spans="1:2" x14ac:dyDescent="0.3">
      <c r="A357">
        <v>46378</v>
      </c>
      <c r="B357">
        <v>5</v>
      </c>
    </row>
    <row r="358" spans="1:2" x14ac:dyDescent="0.3">
      <c r="A358">
        <v>46379</v>
      </c>
      <c r="B358">
        <v>5</v>
      </c>
    </row>
    <row r="359" spans="1:2" x14ac:dyDescent="0.3">
      <c r="A359">
        <v>46380</v>
      </c>
      <c r="B359">
        <v>5</v>
      </c>
    </row>
    <row r="360" spans="1:2" x14ac:dyDescent="0.3">
      <c r="A360">
        <v>46381</v>
      </c>
      <c r="B360">
        <v>5</v>
      </c>
    </row>
    <row r="361" spans="1:2" x14ac:dyDescent="0.3">
      <c r="A361">
        <v>46382</v>
      </c>
      <c r="B361">
        <v>5</v>
      </c>
    </row>
    <row r="362" spans="1:2" x14ac:dyDescent="0.3">
      <c r="A362">
        <v>46383</v>
      </c>
      <c r="B362">
        <v>5</v>
      </c>
    </row>
    <row r="363" spans="1:2" x14ac:dyDescent="0.3">
      <c r="A363">
        <v>46384</v>
      </c>
      <c r="B363">
        <v>4</v>
      </c>
    </row>
    <row r="364" spans="1:2" x14ac:dyDescent="0.3">
      <c r="A364">
        <v>46385</v>
      </c>
      <c r="B364">
        <v>4</v>
      </c>
    </row>
    <row r="365" spans="1:2" x14ac:dyDescent="0.3">
      <c r="A365">
        <v>46386</v>
      </c>
      <c r="B365">
        <v>4</v>
      </c>
    </row>
    <row r="366" spans="1:2" x14ac:dyDescent="0.3">
      <c r="A366">
        <v>46387</v>
      </c>
      <c r="B366">
        <v>4</v>
      </c>
    </row>
    <row r="367" spans="1:2" x14ac:dyDescent="0.3">
      <c r="A367">
        <v>46388</v>
      </c>
      <c r="B367">
        <v>5</v>
      </c>
    </row>
    <row r="368" spans="1:2" x14ac:dyDescent="0.3">
      <c r="A368">
        <v>46389</v>
      </c>
      <c r="B368">
        <v>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98F470B00F454C8CA677C63E6721D7" ma:contentTypeVersion="4" ma:contentTypeDescription="Create a new document." ma:contentTypeScope="" ma:versionID="533dc311467df614029f34daead29ebf">
  <xsd:schema xmlns:xsd="http://www.w3.org/2001/XMLSchema" xmlns:xs="http://www.w3.org/2001/XMLSchema" xmlns:p="http://schemas.microsoft.com/office/2006/metadata/properties" xmlns:ns3="43a366e4-f98e-4004-a98b-325b777a1e5e" targetNamespace="http://schemas.microsoft.com/office/2006/metadata/properties" ma:root="true" ma:fieldsID="9d99918a1c9c3eded1d722a6b4572198" ns3:_="">
    <xsd:import namespace="43a366e4-f98e-4004-a98b-325b777a1e5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a366e4-f98e-4004-a98b-325b777a1e5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416048F-EB34-4311-A6A2-24DA2F5F475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49C5B3F-112D-4F0D-8572-47698068CDF0}">
  <ds:schemaRefs>
    <ds:schemaRef ds:uri="http://schemas.microsoft.com/sharepoint/v3/contenttype/forms"/>
  </ds:schemaRefs>
</ds:datastoreItem>
</file>

<file path=customXml/itemProps3.xml><?xml version="1.0" encoding="utf-8"?>
<ds:datastoreItem xmlns:ds="http://schemas.openxmlformats.org/officeDocument/2006/customXml" ds:itemID="{C97D7660-5665-4CC2-B407-391EBA4AEB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a366e4-f98e-4004-a98b-325b777a1e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2025</vt:lpstr>
      <vt:lpstr>Ops</vt:lpstr>
      <vt:lpstr>Daily Slots</vt:lpstr>
      <vt:lpstr>Code</vt:lpstr>
      <vt:lpstr>Output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Kah Jun Tay</cp:lastModifiedBy>
  <cp:revision/>
  <dcterms:created xsi:type="dcterms:W3CDTF">2025-03-04T07:06:54Z</dcterms:created>
  <dcterms:modified xsi:type="dcterms:W3CDTF">2026-03-24T06:14:40Z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0x010100C798F470B00F454C8CA677C63E6721D7</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SIP_Label_153db910-0838-4c35-bb3a-1ee21aa199ac_Enabled">
    <vt:lpwstr>true</vt:lpwstr>
  </property>
  <property fmtid="{D5CDD505-2E9C-101B-9397-08002B2CF9AE}" pid="8" name="MSIP_Label_153db910-0838-4c35-bb3a-1ee21aa199ac_SetDate">
    <vt:lpwstr>2025-03-04T07:09:09Z</vt:lpwstr>
  </property>
  <property fmtid="{D5CDD505-2E9C-101B-9397-08002B2CF9AE}" pid="9" name="MSIP_Label_153db910-0838-4c35-bb3a-1ee21aa199ac_Method">
    <vt:lpwstr>Privileged</vt:lpwstr>
  </property>
  <property fmtid="{D5CDD505-2E9C-101B-9397-08002B2CF9AE}" pid="10" name="MSIP_Label_153db910-0838-4c35-bb3a-1ee21aa199ac_Name">
    <vt:lpwstr>Sensitive Normal</vt:lpwstr>
  </property>
  <property fmtid="{D5CDD505-2E9C-101B-9397-08002B2CF9AE}" pid="11" name="MSIP_Label_153db910-0838-4c35-bb3a-1ee21aa199ac_SiteId">
    <vt:lpwstr>0b11c524-9a1c-4e1b-84cb-6336aefc2243</vt:lpwstr>
  </property>
  <property fmtid="{D5CDD505-2E9C-101B-9397-08002B2CF9AE}" pid="12" name="MSIP_Label_153db910-0838-4c35-bb3a-1ee21aa199ac_ActionId">
    <vt:lpwstr>e918497a-2d96-437b-8585-ffc7a76569f3</vt:lpwstr>
  </property>
  <property fmtid="{D5CDD505-2E9C-101B-9397-08002B2CF9AE}" pid="13" name="MSIP_Label_153db910-0838-4c35-bb3a-1ee21aa199ac_ContentBits">
    <vt:lpwstr>0</vt:lpwstr>
  </property>
  <property fmtid="{D5CDD505-2E9C-101B-9397-08002B2CF9AE}" pid="14" name="MSIP_Label_153db910-0838-4c35-bb3a-1ee21aa199ac_Tag">
    <vt:lpwstr>10, 0, 1, 2</vt:lpwstr>
  </property>
</Properties>
</file>