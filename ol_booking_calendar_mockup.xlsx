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jtay\Downloads\"/>
    </mc:Choice>
  </mc:AlternateContent>
  <xr:revisionPtr revIDLastSave="0" documentId="13_ncr:1_{D97C7413-180E-41C4-B9AD-D8D93D960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_View" sheetId="1" r:id="rId1"/>
    <sheet name="Daily_Capacity" sheetId="2" r:id="rId2"/>
    <sheet name="Bookings" sheetId="3" r:id="rId3"/>
    <sheet name="Lists" sheetId="4" r:id="rId4"/>
    <sheet name="_Help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E6" i="5" s="1"/>
  <c r="E12" i="1" l="1"/>
  <c r="B2" i="5"/>
  <c r="D4" i="5"/>
  <c r="F6" i="5"/>
  <c r="F1" i="5"/>
  <c r="D2" i="5"/>
  <c r="F4" i="5"/>
  <c r="A5" i="1"/>
  <c r="E2" i="5"/>
  <c r="G4" i="5"/>
  <c r="F2" i="5"/>
  <c r="A5" i="5"/>
  <c r="G2" i="5"/>
  <c r="A3" i="5"/>
  <c r="C5" i="5"/>
  <c r="A4" i="5"/>
  <c r="G1" i="5"/>
  <c r="B4" i="5"/>
  <c r="D6" i="5"/>
  <c r="C2" i="5"/>
  <c r="E4" i="5"/>
  <c r="G6" i="5"/>
  <c r="B5" i="5"/>
  <c r="B3" i="5"/>
  <c r="D5" i="5"/>
  <c r="A1" i="5"/>
  <c r="C3" i="5"/>
  <c r="E5" i="5"/>
  <c r="F5" i="5"/>
  <c r="B1" i="5"/>
  <c r="D3" i="5"/>
  <c r="C1" i="5"/>
  <c r="E3" i="5"/>
  <c r="G5" i="5"/>
  <c r="D1" i="5"/>
  <c r="F3" i="5"/>
  <c r="A6" i="5"/>
  <c r="E1" i="5"/>
  <c r="G3" i="5"/>
  <c r="B6" i="5"/>
  <c r="C6" i="5"/>
  <c r="A4" i="2"/>
  <c r="A2" i="5"/>
  <c r="C4" i="5"/>
  <c r="C12" i="1" l="1"/>
  <c r="G12" i="1"/>
  <c r="F12" i="1"/>
  <c r="C4" i="2"/>
  <c r="E4" i="2" s="1"/>
  <c r="A5" i="2"/>
  <c r="F4" i="2"/>
  <c r="B4" i="2"/>
  <c r="B12" i="1"/>
  <c r="D12" i="1"/>
  <c r="A7" i="1"/>
  <c r="B7" i="1"/>
  <c r="H4" i="2" l="1"/>
  <c r="G4" i="2"/>
  <c r="A6" i="2"/>
  <c r="F5" i="2"/>
  <c r="C5" i="2"/>
  <c r="E5" i="2" s="1"/>
  <c r="B5" i="2"/>
  <c r="C6" i="2" l="1"/>
  <c r="E6" i="2" s="1"/>
  <c r="B6" i="2"/>
  <c r="F6" i="2"/>
  <c r="A7" i="2"/>
  <c r="H5" i="2"/>
  <c r="G5" i="2"/>
  <c r="G6" i="2" l="1"/>
  <c r="H6" i="2"/>
  <c r="A8" i="2"/>
  <c r="F7" i="2"/>
  <c r="F9" i="5" s="1"/>
  <c r="B7" i="2"/>
  <c r="C7" i="2"/>
  <c r="E7" i="2" s="1"/>
  <c r="F17" i="5" l="1"/>
  <c r="G7" i="2"/>
  <c r="H7" i="2"/>
  <c r="F8" i="2"/>
  <c r="G9" i="5" s="1"/>
  <c r="B8" i="2"/>
  <c r="A9" i="2"/>
  <c r="C8" i="2"/>
  <c r="E8" i="2" s="1"/>
  <c r="H8" i="2" l="1"/>
  <c r="G8" i="2"/>
  <c r="G25" i="5" s="1"/>
  <c r="A10" i="2"/>
  <c r="F9" i="2"/>
  <c r="A10" i="5" s="1"/>
  <c r="C9" i="2"/>
  <c r="E9" i="2" s="1"/>
  <c r="B9" i="2"/>
  <c r="F25" i="5"/>
  <c r="F7" i="1" s="1"/>
  <c r="H9" i="2" l="1"/>
  <c r="G9" i="2"/>
  <c r="C10" i="2"/>
  <c r="E10" i="2" s="1"/>
  <c r="B10" i="2"/>
  <c r="F10" i="2"/>
  <c r="A11" i="2"/>
  <c r="H10" i="2" l="1"/>
  <c r="G10" i="2"/>
  <c r="A12" i="2"/>
  <c r="C11" i="2"/>
  <c r="B11" i="2"/>
  <c r="F11" i="2"/>
  <c r="E11" i="2"/>
  <c r="A26" i="5"/>
  <c r="H11" i="2" l="1"/>
  <c r="G11" i="2"/>
  <c r="F12" i="2"/>
  <c r="C12" i="2"/>
  <c r="E12" i="2" s="1"/>
  <c r="B12" i="2"/>
  <c r="A13" i="2"/>
  <c r="G12" i="2" l="1"/>
  <c r="H12" i="2"/>
  <c r="B13" i="2"/>
  <c r="A14" i="2"/>
  <c r="F13" i="2"/>
  <c r="C13" i="2"/>
  <c r="E13" i="2" s="1"/>
  <c r="H13" i="2" l="1"/>
  <c r="G13" i="2"/>
  <c r="A15" i="2"/>
  <c r="F14" i="2"/>
  <c r="C14" i="2"/>
  <c r="E14" i="2" s="1"/>
  <c r="B14" i="2"/>
  <c r="H14" i="2" l="1"/>
  <c r="G14" i="2"/>
  <c r="E15" i="2"/>
  <c r="C15" i="2"/>
  <c r="B15" i="2"/>
  <c r="A16" i="2"/>
  <c r="F15" i="2"/>
  <c r="H15" i="2" s="1"/>
  <c r="A17" i="2" l="1"/>
  <c r="F16" i="2"/>
  <c r="C16" i="2"/>
  <c r="E16" i="2" s="1"/>
  <c r="B16" i="2"/>
  <c r="G15" i="2"/>
  <c r="H16" i="2" l="1"/>
  <c r="G16" i="2"/>
  <c r="C17" i="2"/>
  <c r="B17" i="2"/>
  <c r="A18" i="2"/>
  <c r="F17" i="2"/>
  <c r="H17" i="2" s="1"/>
  <c r="E17" i="2"/>
  <c r="G17" i="2" l="1"/>
  <c r="A19" i="2"/>
  <c r="F18" i="2"/>
  <c r="B18" i="2"/>
  <c r="E18" i="2"/>
  <c r="C18" i="2"/>
  <c r="H18" i="2" l="1"/>
  <c r="A20" i="2"/>
  <c r="F19" i="2"/>
  <c r="C19" i="2"/>
  <c r="E19" i="2" s="1"/>
  <c r="B19" i="2"/>
  <c r="G18" i="2"/>
  <c r="H19" i="2" l="1"/>
  <c r="G19" i="2"/>
  <c r="A21" i="2"/>
  <c r="C20" i="2"/>
  <c r="E20" i="2" s="1"/>
  <c r="F20" i="2"/>
  <c r="B20" i="2"/>
  <c r="H20" i="2" l="1"/>
  <c r="G20" i="2"/>
  <c r="A22" i="2"/>
  <c r="F21" i="2"/>
  <c r="C21" i="2"/>
  <c r="E21" i="2" s="1"/>
  <c r="B21" i="2"/>
  <c r="H21" i="2" l="1"/>
  <c r="G21" i="2"/>
  <c r="C22" i="2"/>
  <c r="F22" i="2"/>
  <c r="A23" i="2"/>
  <c r="B22" i="2"/>
  <c r="E22" i="2"/>
  <c r="G22" i="2" l="1"/>
  <c r="A24" i="2"/>
  <c r="F23" i="2"/>
  <c r="C23" i="2"/>
  <c r="E23" i="2" s="1"/>
  <c r="B23" i="2"/>
  <c r="H22" i="2"/>
  <c r="H23" i="2" l="1"/>
  <c r="G23" i="2"/>
  <c r="F24" i="2"/>
  <c r="H24" i="2" s="1"/>
  <c r="B24" i="2"/>
  <c r="E24" i="2"/>
  <c r="A25" i="2"/>
  <c r="C24" i="2"/>
  <c r="G24" i="2" l="1"/>
  <c r="A26" i="2"/>
  <c r="F25" i="2"/>
  <c r="C25" i="2"/>
  <c r="E25" i="2" s="1"/>
  <c r="B25" i="2"/>
  <c r="H25" i="2" l="1"/>
  <c r="G25" i="2"/>
  <c r="C26" i="2"/>
  <c r="E26" i="2" s="1"/>
  <c r="B26" i="2"/>
  <c r="F26" i="2"/>
  <c r="A27" i="2"/>
  <c r="H26" i="2" l="1"/>
  <c r="G26" i="2"/>
  <c r="A28" i="2"/>
  <c r="B27" i="2"/>
  <c r="C27" i="2"/>
  <c r="F27" i="2"/>
  <c r="E27" i="2"/>
  <c r="G27" i="2" l="1"/>
  <c r="H27" i="2"/>
  <c r="F28" i="2"/>
  <c r="C28" i="2"/>
  <c r="E28" i="2" s="1"/>
  <c r="B28" i="2"/>
  <c r="A29" i="2"/>
  <c r="G28" i="2" l="1"/>
  <c r="H28" i="2"/>
  <c r="B29" i="2"/>
  <c r="F29" i="2"/>
  <c r="A30" i="2"/>
  <c r="C29" i="2"/>
  <c r="E29" i="2" s="1"/>
  <c r="H29" i="2" l="1"/>
  <c r="G29" i="2"/>
  <c r="A31" i="2"/>
  <c r="F30" i="2"/>
  <c r="C30" i="2"/>
  <c r="E30" i="2" s="1"/>
  <c r="B30" i="2"/>
  <c r="G30" i="2" l="1"/>
  <c r="H30" i="2"/>
  <c r="E31" i="2"/>
  <c r="C31" i="2"/>
  <c r="B31" i="2"/>
  <c r="A32" i="2"/>
  <c r="F31" i="2"/>
  <c r="H31" i="2" s="1"/>
  <c r="A33" i="2" l="1"/>
  <c r="F32" i="2"/>
  <c r="C32" i="2"/>
  <c r="E32" i="2" s="1"/>
  <c r="B32" i="2"/>
  <c r="G31" i="2"/>
  <c r="H32" i="2" l="1"/>
  <c r="G32" i="2"/>
  <c r="C33" i="2"/>
  <c r="E33" i="2" s="1"/>
  <c r="B33" i="2"/>
  <c r="F33" i="2"/>
  <c r="A34" i="2"/>
  <c r="C17" i="5" l="1"/>
  <c r="C9" i="5"/>
  <c r="D17" i="5"/>
  <c r="E25" i="5"/>
  <c r="D25" i="5"/>
  <c r="C25" i="5"/>
  <c r="C7" i="1" s="1"/>
  <c r="D9" i="5"/>
  <c r="D7" i="1" s="1"/>
  <c r="E17" i="5"/>
  <c r="E9" i="5"/>
  <c r="E7" i="1" s="1"/>
  <c r="G33" i="2"/>
  <c r="H33" i="2"/>
  <c r="F34" i="2"/>
  <c r="A14" i="5" s="1"/>
  <c r="C34" i="2"/>
  <c r="E34" i="2" s="1"/>
  <c r="G21" i="5" s="1"/>
  <c r="B34" i="2"/>
  <c r="G10" i="5"/>
  <c r="E30" i="5"/>
  <c r="E22" i="5"/>
  <c r="E14" i="5"/>
  <c r="B22" i="5"/>
  <c r="D20" i="5"/>
  <c r="E29" i="5"/>
  <c r="B26" i="5"/>
  <c r="C28" i="5"/>
  <c r="E11" i="5"/>
  <c r="E27" i="5"/>
  <c r="D22" i="5"/>
  <c r="A13" i="5"/>
  <c r="E10" i="5"/>
  <c r="G26" i="5"/>
  <c r="A25" i="5"/>
  <c r="B29" i="5"/>
  <c r="G22" i="5"/>
  <c r="A12" i="5"/>
  <c r="C18" i="5"/>
  <c r="F26" i="5"/>
  <c r="C21" i="5"/>
  <c r="F10" i="5"/>
  <c r="A21" i="5"/>
  <c r="E19" i="5"/>
  <c r="E21" i="5"/>
  <c r="B12" i="5"/>
  <c r="C22" i="5"/>
  <c r="B14" i="5"/>
  <c r="C14" i="5"/>
  <c r="D27" i="5"/>
  <c r="C12" i="5"/>
  <c r="C10" i="1" s="1"/>
  <c r="A28" i="5"/>
  <c r="C19" i="5"/>
  <c r="B19" i="5"/>
  <c r="B9" i="5"/>
  <c r="D12" i="5"/>
  <c r="F12" i="5"/>
  <c r="F27" i="5"/>
  <c r="D30" i="5"/>
  <c r="F28" i="5"/>
  <c r="F21" i="5"/>
  <c r="D18" i="5"/>
  <c r="E26" i="5"/>
  <c r="C10" i="5"/>
  <c r="F29" i="5"/>
  <c r="G12" i="5"/>
  <c r="A11" i="5"/>
  <c r="F11" i="5"/>
  <c r="C11" i="5"/>
  <c r="F20" i="5"/>
  <c r="D26" i="5"/>
  <c r="C13" i="5"/>
  <c r="C11" i="1" s="1"/>
  <c r="D19" i="5"/>
  <c r="D14" i="5"/>
  <c r="B13" i="5"/>
  <c r="A29" i="5"/>
  <c r="B30" i="5"/>
  <c r="E13" i="5"/>
  <c r="E11" i="1" s="1"/>
  <c r="F18" i="5"/>
  <c r="A20" i="5"/>
  <c r="C20" i="5"/>
  <c r="B27" i="5"/>
  <c r="F30" i="5"/>
  <c r="E12" i="5"/>
  <c r="E10" i="1" s="1"/>
  <c r="B20" i="5"/>
  <c r="B11" i="5"/>
  <c r="C26" i="5"/>
  <c r="B28" i="5"/>
  <c r="F19" i="5"/>
  <c r="B21" i="5"/>
  <c r="D13" i="5"/>
  <c r="D11" i="1" s="1"/>
  <c r="E28" i="5"/>
  <c r="D21" i="5"/>
  <c r="G27" i="5"/>
  <c r="A9" i="5"/>
  <c r="E20" i="5"/>
  <c r="D11" i="5"/>
  <c r="D9" i="1" s="1"/>
  <c r="C30" i="5"/>
  <c r="B17" i="5"/>
  <c r="A27" i="5"/>
  <c r="F22" i="5"/>
  <c r="C29" i="5"/>
  <c r="G28" i="5"/>
  <c r="G11" i="5"/>
  <c r="E18" i="5"/>
  <c r="D29" i="5"/>
  <c r="D28" i="5"/>
  <c r="G30" i="5"/>
  <c r="D10" i="5"/>
  <c r="D8" i="1" s="1"/>
  <c r="F14" i="5"/>
  <c r="G18" i="5"/>
  <c r="B25" i="5"/>
  <c r="A17" i="5"/>
  <c r="C27" i="5"/>
  <c r="G19" i="5"/>
  <c r="A19" i="5"/>
  <c r="F13" i="5"/>
  <c r="G14" i="5"/>
  <c r="G20" i="5"/>
  <c r="F11" i="1" l="1"/>
  <c r="G13" i="5"/>
  <c r="A22" i="5"/>
  <c r="G34" i="2"/>
  <c r="A12" i="1"/>
  <c r="B11" i="1"/>
  <c r="F10" i="1"/>
  <c r="F9" i="1"/>
  <c r="G10" i="1"/>
  <c r="A9" i="1"/>
  <c r="B9" i="1"/>
  <c r="C9" i="1"/>
  <c r="A10" i="1"/>
  <c r="C8" i="1"/>
  <c r="G8" i="1"/>
  <c r="B10" i="1"/>
  <c r="E8" i="1"/>
  <c r="G17" i="5"/>
  <c r="G7" i="1" s="1"/>
  <c r="A18" i="5"/>
  <c r="A8" i="1" s="1"/>
  <c r="B18" i="5"/>
  <c r="A11" i="1"/>
  <c r="K3" i="1"/>
  <c r="K4" i="1"/>
  <c r="K2" i="1"/>
  <c r="B10" i="5"/>
  <c r="B8" i="1" s="1"/>
  <c r="G9" i="1"/>
  <c r="H34" i="2"/>
  <c r="K5" i="1" s="1"/>
  <c r="F8" i="1"/>
  <c r="E9" i="1"/>
  <c r="D10" i="1"/>
  <c r="A30" i="5" l="1"/>
  <c r="G29" i="5"/>
  <c r="G11" i="1" s="1"/>
</calcChain>
</file>

<file path=xl/sharedStrings.xml><?xml version="1.0" encoding="utf-8"?>
<sst xmlns="http://schemas.openxmlformats.org/spreadsheetml/2006/main" count="796" uniqueCount="252">
  <si>
    <t>OL Booking Calendar</t>
  </si>
  <si>
    <t>At a glance</t>
  </si>
  <si>
    <t>Excel-first, presentable, and maintainable — the calendar updates from the Bookings sheet and daily quota model.</t>
  </si>
  <si>
    <t>Approved bookings</t>
  </si>
  <si>
    <t>Fully booked days</t>
  </si>
  <si>
    <t>Month</t>
  </si>
  <si>
    <t>April</t>
  </si>
  <si>
    <t>Year</t>
  </si>
  <si>
    <t>Overbooked days</t>
  </si>
  <si>
    <t>Average utilization</t>
  </si>
  <si>
    <t>Mon</t>
  </si>
  <si>
    <t>Tue</t>
  </si>
  <si>
    <t>Wed</t>
  </si>
  <si>
    <t>Thu</t>
  </si>
  <si>
    <t>Fri</t>
  </si>
  <si>
    <t>Sat</t>
  </si>
  <si>
    <t>Sun</t>
  </si>
  <si>
    <t>Legend</t>
  </si>
  <si>
    <t>3+ slots left</t>
  </si>
  <si>
    <t>1–2 slots left</t>
  </si>
  <si>
    <t>Full</t>
  </si>
  <si>
    <t>Overbooked</t>
  </si>
  <si>
    <t>Tip: keep the UX simple — paste submissions into Bookings, adjust any daily overrides, and use this sheet as the visual front end.</t>
  </si>
  <si>
    <t>Daily Capacity Model</t>
  </si>
  <si>
    <t>Date</t>
  </si>
  <si>
    <t>Day</t>
  </si>
  <si>
    <t>Default Quota</t>
  </si>
  <si>
    <t>Override Quota</t>
  </si>
  <si>
    <t>Effective Quota</t>
  </si>
  <si>
    <t>Approved Bookings</t>
  </si>
  <si>
    <t>Remaining</t>
  </si>
  <si>
    <t>Utilization</t>
  </si>
  <si>
    <t>How to use</t>
  </si>
  <si>
    <t>1</t>
  </si>
  <si>
    <t>Paste real form rows into Bookings sheet.</t>
  </si>
  <si>
    <t>2</t>
  </si>
  <si>
    <t>Edit only Override Quota when capacity changes.</t>
  </si>
  <si>
    <t>3</t>
  </si>
  <si>
    <t>Calendar_View updates automatically.</t>
  </si>
  <si>
    <t>4</t>
  </si>
  <si>
    <t>Green = safe, yellow = tight, red = full/overbooked.</t>
  </si>
  <si>
    <t>Request ID</t>
  </si>
  <si>
    <t>Leave Date</t>
  </si>
  <si>
    <t>Officer</t>
  </si>
  <si>
    <t>Unit</t>
  </si>
  <si>
    <t>Category</t>
  </si>
  <si>
    <t>Status</t>
  </si>
  <si>
    <t>Notes</t>
  </si>
  <si>
    <t>REQ-1001</t>
  </si>
  <si>
    <t>Officer 36</t>
  </si>
  <si>
    <t>Ops B</t>
  </si>
  <si>
    <t>OL</t>
  </si>
  <si>
    <t>Approved</t>
  </si>
  <si>
    <t>REQ-1002</t>
  </si>
  <si>
    <t>Officer 27</t>
  </si>
  <si>
    <t>Duty Swap</t>
  </si>
  <si>
    <t>REQ-1003</t>
  </si>
  <si>
    <t>Officer 08</t>
  </si>
  <si>
    <t>Support</t>
  </si>
  <si>
    <t>REQ-1004</t>
  </si>
  <si>
    <t>Field</t>
  </si>
  <si>
    <t>REQ-1005</t>
  </si>
  <si>
    <t>Officer 38</t>
  </si>
  <si>
    <t>REQ-1006</t>
  </si>
  <si>
    <t>Officer 24</t>
  </si>
  <si>
    <t>Ops A</t>
  </si>
  <si>
    <t>REQ-1007</t>
  </si>
  <si>
    <t>Officer 05</t>
  </si>
  <si>
    <t>REQ-1008</t>
  </si>
  <si>
    <t>Officer 35</t>
  </si>
  <si>
    <t>HQ</t>
  </si>
  <si>
    <t>Cancelled</t>
  </si>
  <si>
    <t>sample</t>
  </si>
  <si>
    <t>REQ-1009</t>
  </si>
  <si>
    <t>Officer 30</t>
  </si>
  <si>
    <t>Training</t>
  </si>
  <si>
    <t>REQ-1010</t>
  </si>
  <si>
    <t>Ops C</t>
  </si>
  <si>
    <t>REQ-1011</t>
  </si>
  <si>
    <t>Officer 12</t>
  </si>
  <si>
    <t>REQ-1012</t>
  </si>
  <si>
    <t>Officer 06</t>
  </si>
  <si>
    <t>REQ-1013</t>
  </si>
  <si>
    <t>Officer 34</t>
  </si>
  <si>
    <t>REQ-1014</t>
  </si>
  <si>
    <t>Officer 29</t>
  </si>
  <si>
    <t>REQ-1015</t>
  </si>
  <si>
    <t>REQ-1016</t>
  </si>
  <si>
    <t>Officer 10</t>
  </si>
  <si>
    <t>REQ-1017</t>
  </si>
  <si>
    <t>Officer 03</t>
  </si>
  <si>
    <t>REQ-1018</t>
  </si>
  <si>
    <t>REQ-1019</t>
  </si>
  <si>
    <t>Officer 22</t>
  </si>
  <si>
    <t>REQ-1020</t>
  </si>
  <si>
    <t>REQ-1021</t>
  </si>
  <si>
    <t>REQ-1022</t>
  </si>
  <si>
    <t>Officer 37</t>
  </si>
  <si>
    <t>REQ-1023</t>
  </si>
  <si>
    <t>Officer 19</t>
  </si>
  <si>
    <t>REQ-1024</t>
  </si>
  <si>
    <t>Pending</t>
  </si>
  <si>
    <t>REQ-1025</t>
  </si>
  <si>
    <t>Officer 40</t>
  </si>
  <si>
    <t>REQ-1026</t>
  </si>
  <si>
    <t>Officer 04</t>
  </si>
  <si>
    <t>REQ-1027</t>
  </si>
  <si>
    <t>Officer 09</t>
  </si>
  <si>
    <t>REQ-1028</t>
  </si>
  <si>
    <t>Officer 26</t>
  </si>
  <si>
    <t>REQ-1029</t>
  </si>
  <si>
    <t>Officer 11</t>
  </si>
  <si>
    <t>REQ-1030</t>
  </si>
  <si>
    <t>REQ-1031</t>
  </si>
  <si>
    <t>Officer 28</t>
  </si>
  <si>
    <t>REQ-1032</t>
  </si>
  <si>
    <t>REQ-1033</t>
  </si>
  <si>
    <t>Officer 15</t>
  </si>
  <si>
    <t>REQ-1034</t>
  </si>
  <si>
    <t>REQ-1035</t>
  </si>
  <si>
    <t>REQ-1036</t>
  </si>
  <si>
    <t>REQ-1037</t>
  </si>
  <si>
    <t>REQ-1038</t>
  </si>
  <si>
    <t>REQ-1039</t>
  </si>
  <si>
    <t>REQ-1040</t>
  </si>
  <si>
    <t>REQ-1041</t>
  </si>
  <si>
    <t>REQ-1042</t>
  </si>
  <si>
    <t>REQ-1043</t>
  </si>
  <si>
    <t>Officer 31</t>
  </si>
  <si>
    <t>REQ-1044</t>
  </si>
  <si>
    <t>Officer 13</t>
  </si>
  <si>
    <t>REQ-1045</t>
  </si>
  <si>
    <t>REQ-1046</t>
  </si>
  <si>
    <t>REQ-1047</t>
  </si>
  <si>
    <t>Officer 07</t>
  </si>
  <si>
    <t>REQ-1048</t>
  </si>
  <si>
    <t>REQ-1049</t>
  </si>
  <si>
    <t>REQ-1050</t>
  </si>
  <si>
    <t>Officer 17</t>
  </si>
  <si>
    <t>REQ-1051</t>
  </si>
  <si>
    <t>REQ-1052</t>
  </si>
  <si>
    <t>REQ-1053</t>
  </si>
  <si>
    <t>REQ-1054</t>
  </si>
  <si>
    <t>REQ-1055</t>
  </si>
  <si>
    <t>REQ-1056</t>
  </si>
  <si>
    <t>REQ-1057</t>
  </si>
  <si>
    <t>REQ-1058</t>
  </si>
  <si>
    <t>Officer 20</t>
  </si>
  <si>
    <t>REQ-1059</t>
  </si>
  <si>
    <t>REQ-1060</t>
  </si>
  <si>
    <t>REQ-1061</t>
  </si>
  <si>
    <t>REQ-1062</t>
  </si>
  <si>
    <t>REQ-1063</t>
  </si>
  <si>
    <t>REQ-1064</t>
  </si>
  <si>
    <t>REQ-1065</t>
  </si>
  <si>
    <t>Officer 02</t>
  </si>
  <si>
    <t>REQ-1066</t>
  </si>
  <si>
    <t>REQ-1067</t>
  </si>
  <si>
    <t>Officer 23</t>
  </si>
  <si>
    <t>REQ-1068</t>
  </si>
  <si>
    <t>REQ-1069</t>
  </si>
  <si>
    <t>REQ-1070</t>
  </si>
  <si>
    <t>REQ-1071</t>
  </si>
  <si>
    <t>REQ-1072</t>
  </si>
  <si>
    <t>REQ-1073</t>
  </si>
  <si>
    <t>Officer 25</t>
  </si>
  <si>
    <t>REQ-1074</t>
  </si>
  <si>
    <t>REQ-1075</t>
  </si>
  <si>
    <t>REQ-1076</t>
  </si>
  <si>
    <t>REQ-1077</t>
  </si>
  <si>
    <t>REQ-1078</t>
  </si>
  <si>
    <t>REQ-1079</t>
  </si>
  <si>
    <t>REQ-1080</t>
  </si>
  <si>
    <t>REQ-1081</t>
  </si>
  <si>
    <t>REQ-1082</t>
  </si>
  <si>
    <t>REQ-1083</t>
  </si>
  <si>
    <t>REQ-1084</t>
  </si>
  <si>
    <t>REQ-1085</t>
  </si>
  <si>
    <t>REQ-1086</t>
  </si>
  <si>
    <t>REQ-1087</t>
  </si>
  <si>
    <t>REQ-1088</t>
  </si>
  <si>
    <t>REQ-1089</t>
  </si>
  <si>
    <t>REQ-1090</t>
  </si>
  <si>
    <t>REQ-1091</t>
  </si>
  <si>
    <t>REQ-1092</t>
  </si>
  <si>
    <t>Officer 01</t>
  </si>
  <si>
    <t>REQ-1093</t>
  </si>
  <si>
    <t>REQ-1094</t>
  </si>
  <si>
    <t>REQ-1095</t>
  </si>
  <si>
    <t>Officer 21</t>
  </si>
  <si>
    <t>REQ-1096</t>
  </si>
  <si>
    <t>REQ-1097</t>
  </si>
  <si>
    <t>REQ-1098</t>
  </si>
  <si>
    <t>Officer 18</t>
  </si>
  <si>
    <t>REQ-1099</t>
  </si>
  <si>
    <t>Officer 33</t>
  </si>
  <si>
    <t>REQ-1100</t>
  </si>
  <si>
    <t>REQ-1101</t>
  </si>
  <si>
    <t>REQ-1102</t>
  </si>
  <si>
    <t>Officer 39</t>
  </si>
  <si>
    <t>REQ-1103</t>
  </si>
  <si>
    <t>REQ-1104</t>
  </si>
  <si>
    <t>REQ-1105</t>
  </si>
  <si>
    <t>Officer 16</t>
  </si>
  <si>
    <t>REQ-1106</t>
  </si>
  <si>
    <t>REQ-1107</t>
  </si>
  <si>
    <t>REQ-1108</t>
  </si>
  <si>
    <t>REQ-1109</t>
  </si>
  <si>
    <t>REQ-1110</t>
  </si>
  <si>
    <t>REQ-1111</t>
  </si>
  <si>
    <t>REQ-1112</t>
  </si>
  <si>
    <t>REQ-1113</t>
  </si>
  <si>
    <t>REQ-1114</t>
  </si>
  <si>
    <t>REQ-1115</t>
  </si>
  <si>
    <t>REQ-1116</t>
  </si>
  <si>
    <t>REQ-1117</t>
  </si>
  <si>
    <t>REQ-1118</t>
  </si>
  <si>
    <t>REQ-1119</t>
  </si>
  <si>
    <t>REQ-1120</t>
  </si>
  <si>
    <t>REQ-1121</t>
  </si>
  <si>
    <t>REQ-1122</t>
  </si>
  <si>
    <t>REQ-1123</t>
  </si>
  <si>
    <t>REQ-1124</t>
  </si>
  <si>
    <t>REQ-1125</t>
  </si>
  <si>
    <t>REQ-1126</t>
  </si>
  <si>
    <t>REQ-1127</t>
  </si>
  <si>
    <t>REQ-1128</t>
  </si>
  <si>
    <t>REQ-1129</t>
  </si>
  <si>
    <t>REQ-1130</t>
  </si>
  <si>
    <t>REQ-1131</t>
  </si>
  <si>
    <t>REQ-1132</t>
  </si>
  <si>
    <t>REQ-1133</t>
  </si>
  <si>
    <t>REQ-1134</t>
  </si>
  <si>
    <t>REQ-1135</t>
  </si>
  <si>
    <t>REQ-1136</t>
  </si>
  <si>
    <t>REQ-1137</t>
  </si>
  <si>
    <t>REQ-1138</t>
  </si>
  <si>
    <t>REQ-1139</t>
  </si>
  <si>
    <t>Month Name</t>
  </si>
  <si>
    <t>Month No</t>
  </si>
  <si>
    <t>January</t>
  </si>
  <si>
    <t>February</t>
  </si>
  <si>
    <t>March</t>
  </si>
  <si>
    <t>Other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</si>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</sst>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dd"/>
  </numFmts>
  <fonts count="16">
    <font>
      <sz val="11"/>
      <name val="Carlito"/>
    </font>
    <font>
      <sz val="10"/>
      <name val="Calibri"/>
    </font>
    <font>
      <b/>
      <sz val="10"/>
      <color rgb="FFFFFFFF"/>
      <name val="Calibri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0"/>
      <color rgb="FF0C4A6E"/>
      <name val="Carlito"/>
    </font>
    <font>
      <sz val="10"/>
      <name val="Carlito"/>
    </font>
    <font>
      <b/>
      <sz val="18"/>
      <color rgb="FFFFFFFF"/>
      <name val="Carlito"/>
    </font>
    <font>
      <i/>
      <sz val="10"/>
      <color rgb="FF0C4A6E"/>
      <name val="Carlito"/>
    </font>
    <font>
      <b/>
      <sz val="11"/>
      <color rgb="FF111827"/>
      <name val="Carlito"/>
    </font>
    <font>
      <b/>
      <sz val="11"/>
      <color rgb="FF0F172A"/>
      <name val="Carlito"/>
    </font>
    <font>
      <b/>
      <sz val="15"/>
      <color rgb="FFFFFFFF"/>
      <name val="Carlito"/>
    </font>
    <font>
      <sz val="11"/>
      <color rgb="FF0F172A"/>
      <name val="Calibri"/>
    </font>
    <font>
      <b/>
      <sz val="13"/>
      <color rgb="FFFFFFFF"/>
      <name val="Carlito"/>
    </font>
    <font>
      <b/>
      <sz val="12"/>
      <color rgb="FF0F172A"/>
      <name val="Carlito"/>
    </font>
    <font>
      <i/>
      <sz val="10"/>
      <color rgb="FF1E3A8A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F5F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E0F2FE"/>
      </patternFill>
    </fill>
    <fill>
      <patternFill patternType="solid">
        <fgColor rgb="FF0B3C5D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E5E7EB"/>
      </patternFill>
    </fill>
    <fill>
      <patternFill patternType="solid">
        <fgColor rgb="FFF8FAFC"/>
      </patternFill>
    </fill>
    <fill>
      <patternFill patternType="solid">
        <fgColor rgb="FF1D4ED8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ECACA"/>
      </patternFill>
    </fill>
    <fill>
      <patternFill patternType="solid">
        <fgColor rgb="FFEFF6FF"/>
      </patternFill>
    </fill>
  </fills>
  <borders count="33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D1D5DB"/>
      </top>
      <bottom/>
      <diagonal/>
    </border>
    <border>
      <left/>
      <right/>
      <top/>
      <bottom style="thin">
        <color rgb="FFD1D5DB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14" xfId="0" applyNumberFormat="1" applyFont="1" applyBorder="1"/>
    <xf numFmtId="164" fontId="1" fillId="0" borderId="0" xfId="0" applyNumberFormat="1" applyFont="1"/>
    <xf numFmtId="164" fontId="1" fillId="0" borderId="19" xfId="0" applyNumberFormat="1" applyFont="1" applyBorder="1"/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64" fontId="1" fillId="0" borderId="13" xfId="0" applyNumberFormat="1" applyFont="1" applyBorder="1"/>
    <xf numFmtId="164" fontId="1" fillId="0" borderId="16" xfId="0" applyNumberFormat="1" applyFont="1" applyBorder="1"/>
    <xf numFmtId="164" fontId="1" fillId="0" borderId="18" xfId="0" applyNumberFormat="1" applyFont="1" applyBorder="1"/>
    <xf numFmtId="9" fontId="1" fillId="0" borderId="15" xfId="0" applyNumberFormat="1" applyFont="1" applyBorder="1"/>
    <xf numFmtId="9" fontId="1" fillId="0" borderId="17" xfId="0" applyNumberFormat="1" applyFont="1" applyBorder="1"/>
    <xf numFmtId="9" fontId="1" fillId="0" borderId="20" xfId="0" applyNumberFormat="1" applyFont="1" applyBorder="1"/>
    <xf numFmtId="0" fontId="5" fillId="6" borderId="1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165" fontId="0" fillId="0" borderId="0" xfId="0" applyNumberFormat="1"/>
    <xf numFmtId="0" fontId="9" fillId="8" borderId="21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left" vertical="top" wrapText="1"/>
    </xf>
    <xf numFmtId="0" fontId="12" fillId="11" borderId="23" xfId="0" applyFont="1" applyFill="1" applyBorder="1" applyAlignment="1">
      <alignment horizontal="left" vertical="top" wrapText="1"/>
    </xf>
    <xf numFmtId="0" fontId="12" fillId="11" borderId="24" xfId="0" applyFont="1" applyFill="1" applyBorder="1" applyAlignment="1">
      <alignment horizontal="left" vertical="top" wrapText="1"/>
    </xf>
    <xf numFmtId="0" fontId="12" fillId="11" borderId="25" xfId="0" applyFont="1" applyFill="1" applyBorder="1" applyAlignment="1">
      <alignment horizontal="left" vertical="top" wrapText="1"/>
    </xf>
    <xf numFmtId="0" fontId="12" fillId="11" borderId="0" xfId="0" applyFont="1" applyFill="1" applyAlignment="1">
      <alignment horizontal="left" vertical="top" wrapText="1"/>
    </xf>
    <xf numFmtId="0" fontId="12" fillId="11" borderId="26" xfId="0" applyFont="1" applyFill="1" applyBorder="1" applyAlignment="1">
      <alignment horizontal="left" vertical="top" wrapText="1"/>
    </xf>
    <xf numFmtId="0" fontId="12" fillId="11" borderId="27" xfId="0" applyFont="1" applyFill="1" applyBorder="1" applyAlignment="1">
      <alignment horizontal="left" vertical="top" wrapText="1"/>
    </xf>
    <xf numFmtId="0" fontId="12" fillId="11" borderId="28" xfId="0" applyFont="1" applyFill="1" applyBorder="1" applyAlignment="1">
      <alignment horizontal="left" vertical="top" wrapText="1"/>
    </xf>
    <xf numFmtId="0" fontId="12" fillId="11" borderId="29" xfId="0" applyFont="1" applyFill="1" applyBorder="1" applyAlignment="1">
      <alignment horizontal="left" vertical="top" wrapText="1"/>
    </xf>
    <xf numFmtId="0" fontId="14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9" fontId="14" fillId="9" borderId="9" xfId="0" applyNumberFormat="1" applyFont="1" applyFill="1" applyBorder="1" applyAlignment="1">
      <alignment horizontal="center" vertical="center"/>
    </xf>
    <xf numFmtId="0" fontId="0" fillId="13" borderId="21" xfId="0" applyFill="1" applyBorder="1"/>
    <xf numFmtId="0" fontId="0" fillId="14" borderId="21" xfId="0" applyFill="1" applyBorder="1"/>
    <xf numFmtId="0" fontId="0" fillId="15" borderId="21" xfId="0" applyFill="1" applyBorder="1"/>
    <xf numFmtId="0" fontId="0" fillId="16" borderId="21" xfId="0" applyFill="1" applyBorder="1"/>
    <xf numFmtId="0" fontId="7" fillId="7" borderId="0" xfId="0" applyFont="1" applyFill="1" applyAlignment="1">
      <alignment horizontal="center" vertical="center"/>
    </xf>
    <xf numFmtId="0" fontId="0" fillId="0" borderId="0" xfId="0"/>
    <xf numFmtId="0" fontId="8" fillId="6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6" fillId="11" borderId="30" xfId="0" applyFont="1" applyFill="1" applyBorder="1" applyAlignment="1">
      <alignment vertical="center"/>
    </xf>
    <xf numFmtId="0" fontId="6" fillId="11" borderId="3" xfId="0" applyFont="1" applyFill="1" applyBorder="1" applyAlignment="1">
      <alignment vertical="center"/>
    </xf>
    <xf numFmtId="0" fontId="6" fillId="11" borderId="0" xfId="0" applyFont="1" applyFill="1" applyAlignment="1">
      <alignment vertical="center"/>
    </xf>
    <xf numFmtId="0" fontId="6" fillId="11" borderId="5" xfId="0" applyFont="1" applyFill="1" applyBorder="1" applyAlignment="1">
      <alignment vertical="center"/>
    </xf>
    <xf numFmtId="0" fontId="6" fillId="11" borderId="31" xfId="0" applyFont="1" applyFill="1" applyBorder="1" applyAlignment="1">
      <alignment vertical="center"/>
    </xf>
    <xf numFmtId="0" fontId="9" fillId="10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5" fillId="17" borderId="32" xfId="0" applyFont="1" applyFill="1" applyBorder="1" applyAlignment="1">
      <alignment vertical="top" wrapText="1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7F1D1D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Effective Quota</c:v>
          </c:tx>
          <c:invertIfNegative val="1"/>
          <c:cat>
            <c:numRef>
              <c:f>Daily_Capacity!$A$4:$A$34</c:f>
              <c:numCache>
                <c:formatCode>dd\ mmm\ 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Daily_Capacity!$E$4:$E$34</c:f>
              <c:numCache>
                <c:formatCode>General</c:formatCode>
                <c:ptCount val="31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4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4-4560-A9F2-251B398586B1}"/>
            </c:ext>
          </c:extLst>
        </c:ser>
        <c:ser>
          <c:idx val="1"/>
          <c:order val="1"/>
          <c:tx>
            <c:v>Approved Bookings</c:v>
          </c:tx>
          <c:invertIfNegative val="1"/>
          <c:cat>
            <c:numRef>
              <c:f>Daily_Capacity!$A$4:$A$34</c:f>
              <c:numCache>
                <c:formatCode>dd\ mmm\ 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Daily_Capacity!$F$4:$F$34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4-4560-A9F2-251B39858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 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B4" sqref="B4"/>
    </sheetView>
  </sheetViews>
  <sheetFormatPr defaultRowHeight="13.8"/>
  <cols>
    <col min="1" max="7" width="19" customWidth="1"/>
    <col min="9" max="11" width="16" customWidth="1"/>
  </cols>
  <sheetData>
    <row r="1" spans="1:13" ht="24" customHeight="1">
      <c r="A1" s="62" t="s">
        <v>0</v>
      </c>
      <c r="B1" s="63"/>
      <c r="C1" s="63"/>
      <c r="D1" s="63"/>
      <c r="E1" s="63"/>
      <c r="F1" s="63"/>
      <c r="G1" s="63"/>
      <c r="I1" s="66" t="s">
        <v>1</v>
      </c>
      <c r="J1" s="63"/>
      <c r="K1" s="63"/>
    </row>
    <row r="2" spans="1:13" ht="22.35" customHeight="1">
      <c r="A2" s="64" t="s">
        <v>2</v>
      </c>
      <c r="B2" s="63"/>
      <c r="C2" s="63"/>
      <c r="D2" s="63"/>
      <c r="E2" s="63"/>
      <c r="F2" s="63"/>
      <c r="G2" s="63"/>
      <c r="I2" s="67" t="s">
        <v>3</v>
      </c>
      <c r="J2" s="68"/>
      <c r="K2" s="55">
        <f>SUM(Daily_Capacity!$F$4:$F$34)</f>
        <v>0</v>
      </c>
      <c r="M2">
        <f>MATCH(B4,Lists!$A$2:$A$13,0)</f>
        <v>5</v>
      </c>
    </row>
    <row r="3" spans="1:13" ht="15.6">
      <c r="I3" s="69" t="s">
        <v>4</v>
      </c>
      <c r="J3" s="70"/>
      <c r="K3" s="56">
        <f>COUNTIF(Daily_Capacity!$G$4:$G$34,0)</f>
        <v>0</v>
      </c>
    </row>
    <row r="4" spans="1:13" ht="15.6">
      <c r="A4" s="41" t="s">
        <v>5</v>
      </c>
      <c r="B4" s="42" t="s">
        <v>244</v>
      </c>
      <c r="D4" s="41" t="s">
        <v>7</v>
      </c>
      <c r="E4" s="42">
        <v>2026</v>
      </c>
      <c r="I4" s="69" t="s">
        <v>8</v>
      </c>
      <c r="J4" s="70"/>
      <c r="K4" s="56">
        <f>COUNTIF(Daily_Capacity!$G$4:$G$34,"&lt;0")</f>
        <v>0</v>
      </c>
    </row>
    <row r="5" spans="1:13" ht="19.2" customHeight="1">
      <c r="A5" s="65" t="str">
        <f>TEXT(DATE($E$4,$M$2,1),"mmmm yyyy")</f>
        <v>May 2026</v>
      </c>
      <c r="B5" s="63"/>
      <c r="C5" s="63"/>
      <c r="D5" s="63"/>
      <c r="E5" s="63"/>
      <c r="F5" s="63"/>
      <c r="G5" s="63"/>
      <c r="I5" s="71" t="s">
        <v>9</v>
      </c>
      <c r="J5" s="72"/>
      <c r="K5" s="57" t="e">
        <f>AVERAGEIF(Daily_Capacity!$H$4:$H$34,"&gt;0")</f>
        <v>#DIV/0!</v>
      </c>
    </row>
    <row r="6" spans="1:13">
      <c r="A6" s="43" t="s">
        <v>10</v>
      </c>
      <c r="B6" s="44" t="s">
        <v>11</v>
      </c>
      <c r="C6" s="44" t="s">
        <v>12</v>
      </c>
      <c r="D6" s="44" t="s">
        <v>13</v>
      </c>
      <c r="E6" s="44" t="s">
        <v>14</v>
      </c>
      <c r="F6" s="44" t="s">
        <v>15</v>
      </c>
      <c r="G6" s="45" t="s">
        <v>16</v>
      </c>
    </row>
    <row r="7" spans="1:13" ht="54.45" customHeight="1">
      <c r="A7" s="46" t="str">
        <f>IF(MONTH(_Helper!A1)&lt;&gt;$M$2,"",TEXT(_Helper!A1,"d")&amp;CHAR(10)&amp;"Booked "&amp;_Helper!A9&amp;"/"&amp;_Helper!A17&amp;CHAR(10)&amp;IF(_Helper!A25&lt;0,"Over by "&amp;ABS(_Helper!A25),IF(_Helper!A25=0,"Full",_Helper!A25&amp;" left")))</f>
        <v/>
      </c>
      <c r="B7" s="47" t="str">
        <f>IF(MONTH(_Helper!B1)&lt;&gt;$M$2,"",TEXT(_Helper!B1,"d")&amp;CHAR(10)&amp;"Booked "&amp;_Helper!B9&amp;"/"&amp;_Helper!B17&amp;CHAR(10)&amp;IF(_Helper!B25&lt;0,"Over by "&amp;ABS(_Helper!B25),IF(_Helper!B25=0,"Full",_Helper!B25&amp;" left")))</f>
        <v/>
      </c>
      <c r="C7" s="47" t="str">
        <f>IF(MONTH(_Helper!C1)&lt;&gt;$M$2,"",TEXT(_Helper!C1,"d")&amp;CHAR(10)&amp;"Booked "&amp;_Helper!C9&amp;"/"&amp;_Helper!C17&amp;CHAR(10)&amp;IF(_Helper!C25&lt;0,"Over by "&amp;ABS(_Helper!C25),IF(_Helper!C25=0,"Full",_Helper!C25&amp;" left")))</f>
        <v/>
      </c>
      <c r="D7" s="47" t="str">
        <f>IF(MONTH(_Helper!D1)&lt;&gt;$M$2,"",TEXT(_Helper!D1,"d")&amp;CHAR(10)&amp;"Booked "&amp;_Helper!D9&amp;"/"&amp;_Helper!D17&amp;CHAR(10)&amp;IF(_Helper!D25&lt;0,"Over by "&amp;ABS(_Helper!D25),IF(_Helper!D25=0,"Full",_Helper!D25&amp;" left")))</f>
        <v/>
      </c>
      <c r="E7" s="47" t="str">
        <f>IF(MONTH(_Helper!E1)&lt;&gt;$M$2,"",TEXT(_Helper!E1,"d")&amp;CHAR(10)&amp;"Booked "&amp;_Helper!E9&amp;"/"&amp;_Helper!E17&amp;CHAR(10)&amp;IF(_Helper!E25&lt;0,"Over by "&amp;ABS(_Helper!E25),IF(_Helper!E25=0,"Full",_Helper!E25&amp;" left")))</f>
        <v>1
Booked 0/6
6 left</v>
      </c>
      <c r="F7" s="47" t="str">
        <f>IF(MONTH(_Helper!F1)&lt;&gt;$M$2,"",TEXT(_Helper!F1,"d")&amp;CHAR(10)&amp;"Booked "&amp;_Helper!F9&amp;"/"&amp;_Helper!F17&amp;CHAR(10)&amp;IF(_Helper!F25&lt;0,"Over by "&amp;ABS(_Helper!F25),IF(_Helper!F25=0,"Full",_Helper!F25&amp;" left")))</f>
        <v>2
Booked 0/4
4 left</v>
      </c>
      <c r="G7" s="48" t="str">
        <f>IF(MONTH(_Helper!G1)&lt;&gt;$M$2,"",TEXT(_Helper!G1,"d")&amp;CHAR(10)&amp;"Booked "&amp;_Helper!G9&amp;"/"&amp;_Helper!G17&amp;CHAR(10)&amp;IF(_Helper!G25&lt;0,"Over by "&amp;ABS(_Helper!G25),IF(_Helper!G25=0,"Full",_Helper!G25&amp;" left")))</f>
        <v>3
Booked 0/4
4 left</v>
      </c>
      <c r="I7" s="73" t="s">
        <v>17</v>
      </c>
      <c r="J7" s="63"/>
      <c r="K7" s="63"/>
    </row>
    <row r="8" spans="1:13" ht="54.45" customHeight="1">
      <c r="A8" s="49" t="str">
        <f>IF(MONTH(_Helper!A2)&lt;&gt;$M$2,"",TEXT(_Helper!A2,"d")&amp;CHAR(10)&amp;"Booked "&amp;_Helper!A10&amp;"/"&amp;_Helper!A18&amp;CHAR(10)&amp;IF(_Helper!A26&lt;0,"Over by "&amp;ABS(_Helper!A26),IF(_Helper!A26=0,"Full",_Helper!A26&amp;" left")))</f>
        <v>4
Booked 0/6
6 left</v>
      </c>
      <c r="B8" s="50" t="str">
        <f>IF(MONTH(_Helper!B2)&lt;&gt;$M$2,"",TEXT(_Helper!B2,"d")&amp;CHAR(10)&amp;"Booked "&amp;_Helper!B10&amp;"/"&amp;_Helper!B18&amp;CHAR(10)&amp;IF(_Helper!B26&lt;0,"Over by "&amp;ABS(_Helper!B26),IF(_Helper!B26=0,"Full",_Helper!B26&amp;" left")))</f>
        <v>5
Booked 0/6
6 left</v>
      </c>
      <c r="C8" s="50" t="str">
        <f>IF(MONTH(_Helper!C2)&lt;&gt;$M$2,"",TEXT(_Helper!C2,"d")&amp;CHAR(10)&amp;"Booked "&amp;_Helper!C10&amp;"/"&amp;_Helper!C18&amp;CHAR(10)&amp;IF(_Helper!C26&lt;0,"Over by "&amp;ABS(_Helper!C26),IF(_Helper!C26=0,"Full",_Helper!C26&amp;" left")))</f>
        <v>6
Booked 0/6
6 left</v>
      </c>
      <c r="D8" s="50" t="str">
        <f>IF(MONTH(_Helper!D2)&lt;&gt;$M$2,"",TEXT(_Helper!D2,"d")&amp;CHAR(10)&amp;"Booked "&amp;_Helper!D10&amp;"/"&amp;_Helper!D18&amp;CHAR(10)&amp;IF(_Helper!D26&lt;0,"Over by "&amp;ABS(_Helper!D26),IF(_Helper!D26=0,"Full",_Helper!D26&amp;" left")))</f>
        <v>7
Booked 0/6
6 left</v>
      </c>
      <c r="E8" s="50" t="str">
        <f>IF(MONTH(_Helper!E2)&lt;&gt;$M$2,"",TEXT(_Helper!E2,"d")&amp;CHAR(10)&amp;"Booked "&amp;_Helper!E10&amp;"/"&amp;_Helper!E18&amp;CHAR(10)&amp;IF(_Helper!E26&lt;0,"Over by "&amp;ABS(_Helper!E26),IF(_Helper!E26=0,"Full",_Helper!E26&amp;" left")))</f>
        <v>8
Booked 0/8
8 left</v>
      </c>
      <c r="F8" s="50" t="str">
        <f>IF(MONTH(_Helper!F2)&lt;&gt;$M$2,"",TEXT(_Helper!F2,"d")&amp;CHAR(10)&amp;"Booked "&amp;_Helper!F10&amp;"/"&amp;_Helper!F18&amp;CHAR(10)&amp;IF(_Helper!F26&lt;0,"Over by "&amp;ABS(_Helper!F26),IF(_Helper!F26=0,"Full",_Helper!F26&amp;" left")))</f>
        <v>9
Booked 0/4
4 left</v>
      </c>
      <c r="G8" s="51" t="str">
        <f>IF(MONTH(_Helper!G2)&lt;&gt;$M$2,"",TEXT(_Helper!G2,"d")&amp;CHAR(10)&amp;"Booked "&amp;_Helper!G10&amp;"/"&amp;_Helper!G18&amp;CHAR(10)&amp;IF(_Helper!G26&lt;0,"Over by "&amp;ABS(_Helper!G26),IF(_Helper!G26=0,"Full",_Helper!G26&amp;" left")))</f>
        <v>10
Booked 0/4
4 left</v>
      </c>
      <c r="I8" s="58"/>
      <c r="J8" s="74" t="s">
        <v>18</v>
      </c>
      <c r="K8" s="75"/>
    </row>
    <row r="9" spans="1:13" ht="54.45" customHeight="1">
      <c r="A9" s="49" t="str">
        <f>IF(MONTH(_Helper!A3)&lt;&gt;$M$2,"",TEXT(_Helper!A3,"d")&amp;CHAR(10)&amp;"Booked "&amp;_Helper!A11&amp;"/"&amp;_Helper!A19&amp;CHAR(10)&amp;IF(_Helper!A27&lt;0,"Over by "&amp;ABS(_Helper!A27),IF(_Helper!A27=0,"Full",_Helper!A27&amp;" left")))</f>
        <v>11
Booked 0/6
6 left</v>
      </c>
      <c r="B9" s="50" t="str">
        <f>IF(MONTH(_Helper!B3)&lt;&gt;$M$2,"",TEXT(_Helper!B3,"d")&amp;CHAR(10)&amp;"Booked "&amp;_Helper!B11&amp;"/"&amp;_Helper!B19&amp;CHAR(10)&amp;IF(_Helper!B27&lt;0,"Over by "&amp;ABS(_Helper!B27),IF(_Helper!B27=0,"Full",_Helper!B27&amp;" left")))</f>
        <v>12
Booked 0/3
3 left</v>
      </c>
      <c r="C9" s="50" t="str">
        <f>IF(MONTH(_Helper!C3)&lt;&gt;$M$2,"",TEXT(_Helper!C3,"d")&amp;CHAR(10)&amp;"Booked "&amp;_Helper!C11&amp;"/"&amp;_Helper!C19&amp;CHAR(10)&amp;IF(_Helper!C27&lt;0,"Over by "&amp;ABS(_Helper!C27),IF(_Helper!C27=0,"Full",_Helper!C27&amp;" left")))</f>
        <v>13
Booked 0/6
6 left</v>
      </c>
      <c r="D9" s="50" t="str">
        <f>IF(MONTH(_Helper!D3)&lt;&gt;$M$2,"",TEXT(_Helper!D3,"d")&amp;CHAR(10)&amp;"Booked "&amp;_Helper!D11&amp;"/"&amp;_Helper!D19&amp;CHAR(10)&amp;IF(_Helper!D27&lt;0,"Over by "&amp;ABS(_Helper!D27),IF(_Helper!D27=0,"Full",_Helper!D27&amp;" left")))</f>
        <v>14
Booked 0/6
6 left</v>
      </c>
      <c r="E9" s="50" t="str">
        <f>IF(MONTH(_Helper!E3)&lt;&gt;$M$2,"",TEXT(_Helper!E3,"d")&amp;CHAR(10)&amp;"Booked "&amp;_Helper!E11&amp;"/"&amp;_Helper!E19&amp;CHAR(10)&amp;IF(_Helper!E27&lt;0,"Over by "&amp;ABS(_Helper!E27),IF(_Helper!E27=0,"Full",_Helper!E27&amp;" left")))</f>
        <v>15
Booked 0/5
5 left</v>
      </c>
      <c r="F9" s="50" t="str">
        <f>IF(MONTH(_Helper!F3)&lt;&gt;$M$2,"",TEXT(_Helper!F3,"d")&amp;CHAR(10)&amp;"Booked "&amp;_Helper!F11&amp;"/"&amp;_Helper!F19&amp;CHAR(10)&amp;IF(_Helper!F27&lt;0,"Over by "&amp;ABS(_Helper!F27),IF(_Helper!F27=0,"Full",_Helper!F27&amp;" left")))</f>
        <v>16
Booked 0/4
4 left</v>
      </c>
      <c r="G9" s="51" t="str">
        <f>IF(MONTH(_Helper!G3)&lt;&gt;$M$2,"",TEXT(_Helper!G3,"d")&amp;CHAR(10)&amp;"Booked "&amp;_Helper!G11&amp;"/"&amp;_Helper!G19&amp;CHAR(10)&amp;IF(_Helper!G27&lt;0,"Over by "&amp;ABS(_Helper!G27),IF(_Helper!G27=0,"Full",_Helper!G27&amp;" left")))</f>
        <v>17
Booked 0/4
4 left</v>
      </c>
      <c r="I9" s="59"/>
      <c r="J9" s="76" t="s">
        <v>19</v>
      </c>
      <c r="K9" s="77"/>
    </row>
    <row r="10" spans="1:13" ht="54.45" customHeight="1">
      <c r="A10" s="49" t="str">
        <f>IF(MONTH(_Helper!A4)&lt;&gt;$M$2,"",TEXT(_Helper!A4,"d")&amp;CHAR(10)&amp;"Booked "&amp;_Helper!A12&amp;"/"&amp;_Helper!A20&amp;CHAR(10)&amp;IF(_Helper!A28&lt;0,"Over by "&amp;ABS(_Helper!A28),IF(_Helper!A28=0,"Full",_Helper!A28&amp;" left")))</f>
        <v>18
Booked 0/6
6 left</v>
      </c>
      <c r="B10" s="50" t="str">
        <f>IF(MONTH(_Helper!B4)&lt;&gt;$M$2,"",TEXT(_Helper!B4,"d")&amp;CHAR(10)&amp;"Booked "&amp;_Helper!B12&amp;"/"&amp;_Helper!B20&amp;CHAR(10)&amp;IF(_Helper!B28&lt;0,"Over by "&amp;ABS(_Helper!B28),IF(_Helper!B28=0,"Full",_Helper!B28&amp;" left")))</f>
        <v>19
Booked 0/6
6 left</v>
      </c>
      <c r="C10" s="50" t="str">
        <f>IF(MONTH(_Helper!C4)&lt;&gt;$M$2,"",TEXT(_Helper!C4,"d")&amp;CHAR(10)&amp;"Booked "&amp;_Helper!C12&amp;"/"&amp;_Helper!C20&amp;CHAR(10)&amp;IF(_Helper!C28&lt;0,"Over by "&amp;ABS(_Helper!C28),IF(_Helper!C28=0,"Full",_Helper!C28&amp;" left")))</f>
        <v>20
Booked 0/6
6 left</v>
      </c>
      <c r="D10" s="50" t="str">
        <f>IF(MONTH(_Helper!D4)&lt;&gt;$M$2,"",TEXT(_Helper!D4,"d")&amp;CHAR(10)&amp;"Booked "&amp;_Helper!D12&amp;"/"&amp;_Helper!D20&amp;CHAR(10)&amp;IF(_Helper!D28&lt;0,"Over by "&amp;ABS(_Helper!D28),IF(_Helper!D28=0,"Full",_Helper!D28&amp;" left")))</f>
        <v>21
Booked 0/8
8 left</v>
      </c>
      <c r="E10" s="50" t="str">
        <f>IF(MONTH(_Helper!E4)&lt;&gt;$M$2,"",TEXT(_Helper!E4,"d")&amp;CHAR(10)&amp;"Booked "&amp;_Helper!E12&amp;"/"&amp;_Helper!E20&amp;CHAR(10)&amp;IF(_Helper!E28&lt;0,"Over by "&amp;ABS(_Helper!E28),IF(_Helper!E28=0,"Full",_Helper!E28&amp;" left")))</f>
        <v>22
Booked 0/6
6 left</v>
      </c>
      <c r="F10" s="50" t="str">
        <f>IF(MONTH(_Helper!F4)&lt;&gt;$M$2,"",TEXT(_Helper!F4,"d")&amp;CHAR(10)&amp;"Booked "&amp;_Helper!F12&amp;"/"&amp;_Helper!F20&amp;CHAR(10)&amp;IF(_Helper!F28&lt;0,"Over by "&amp;ABS(_Helper!F28),IF(_Helper!F28=0,"Full",_Helper!F28&amp;" left")))</f>
        <v>23
Booked 0/4
4 left</v>
      </c>
      <c r="G10" s="51" t="str">
        <f>IF(MONTH(_Helper!G4)&lt;&gt;$M$2,"",TEXT(_Helper!G4,"d")&amp;CHAR(10)&amp;"Booked "&amp;_Helper!G12&amp;"/"&amp;_Helper!G20&amp;CHAR(10)&amp;IF(_Helper!G28&lt;0,"Over by "&amp;ABS(_Helper!G28),IF(_Helper!G28=0,"Full",_Helper!G28&amp;" left")))</f>
        <v>24
Booked 0/4
4 left</v>
      </c>
      <c r="I10" s="60"/>
      <c r="J10" s="76" t="s">
        <v>20</v>
      </c>
      <c r="K10" s="77"/>
    </row>
    <row r="11" spans="1:13" ht="54.45" customHeight="1">
      <c r="A11" s="49" t="str">
        <f>IF(MONTH(_Helper!A5)&lt;&gt;$M$2,"",TEXT(_Helper!A5,"d")&amp;CHAR(10)&amp;"Booked "&amp;_Helper!A13&amp;"/"&amp;_Helper!A21&amp;CHAR(10)&amp;IF(_Helper!A29&lt;0,"Over by "&amp;ABS(_Helper!A29),IF(_Helper!A29=0,"Full",_Helper!A29&amp;" left")))</f>
        <v>25
Booked 0/6
6 left</v>
      </c>
      <c r="B11" s="50" t="str">
        <f>IF(MONTH(_Helper!B5)&lt;&gt;$M$2,"",TEXT(_Helper!B5,"d")&amp;CHAR(10)&amp;"Booked "&amp;_Helper!B13&amp;"/"&amp;_Helper!B21&amp;CHAR(10)&amp;IF(_Helper!B29&lt;0,"Over by "&amp;ABS(_Helper!B29),IF(_Helper!B29=0,"Full",_Helper!B29&amp;" left")))</f>
        <v>26
Booked 0/6
6 left</v>
      </c>
      <c r="C11" s="50" t="str">
        <f>IF(MONTH(_Helper!C5)&lt;&gt;$M$2,"",TEXT(_Helper!C5,"d")&amp;CHAR(10)&amp;"Booked "&amp;_Helper!C13&amp;"/"&amp;_Helper!C21&amp;CHAR(10)&amp;IF(_Helper!C29&lt;0,"Over by "&amp;ABS(_Helper!C29),IF(_Helper!C29=0,"Full",_Helper!C29&amp;" left")))</f>
        <v>27
Booked 0/6
6 left</v>
      </c>
      <c r="D11" s="50" t="str">
        <f>IF(MONTH(_Helper!D5)&lt;&gt;$M$2,"",TEXT(_Helper!D5,"d")&amp;CHAR(10)&amp;"Booked "&amp;_Helper!D13&amp;"/"&amp;_Helper!D21&amp;CHAR(10)&amp;IF(_Helper!D29&lt;0,"Over by "&amp;ABS(_Helper!D29),IF(_Helper!D29=0,"Full",_Helper!D29&amp;" left")))</f>
        <v>28
Booked 0/5
5 left</v>
      </c>
      <c r="E11" s="50" t="str">
        <f>IF(MONTH(_Helper!E5)&lt;&gt;$M$2,"",TEXT(_Helper!E5,"d")&amp;CHAR(10)&amp;"Booked "&amp;_Helper!E13&amp;"/"&amp;_Helper!E21&amp;CHAR(10)&amp;IF(_Helper!E29&lt;0,"Over by "&amp;ABS(_Helper!E29),IF(_Helper!E29=0,"Full",_Helper!E29&amp;" left")))</f>
        <v>29
Booked 0/6
6 left</v>
      </c>
      <c r="F11" s="50" t="str">
        <f>IF(MONTH(_Helper!F5)&lt;&gt;$M$2,"",TEXT(_Helper!F5,"d")&amp;CHAR(10)&amp;"Booked "&amp;_Helper!F13&amp;"/"&amp;_Helper!F21&amp;CHAR(10)&amp;IF(_Helper!F29&lt;0,"Over by "&amp;ABS(_Helper!F29),IF(_Helper!F29=0,"Full",_Helper!F29&amp;" left")))</f>
        <v>30
Booked 0/4
4 left</v>
      </c>
      <c r="G11" s="51" t="str">
        <f>IF(MONTH(_Helper!G5)&lt;&gt;$M$2,"",TEXT(_Helper!G5,"d")&amp;CHAR(10)&amp;"Booked "&amp;_Helper!G13&amp;"/"&amp;_Helper!G21&amp;CHAR(10)&amp;IF(_Helper!G29&lt;0,"Over by "&amp;ABS(_Helper!G29),IF(_Helper!G29=0,"Full",_Helper!G29&amp;" left")))</f>
        <v>31
Booked 0/4
4 left</v>
      </c>
      <c r="I11" s="61"/>
      <c r="J11" s="78" t="s">
        <v>21</v>
      </c>
      <c r="K11" s="79"/>
    </row>
    <row r="12" spans="1:13" ht="54.45" customHeight="1">
      <c r="A12" s="52" t="str">
        <f>IF(MONTH(_Helper!A6)&lt;&gt;$M$2,"",TEXT(_Helper!A6,"d")&amp;CHAR(10)&amp;"Booked "&amp;_Helper!A14&amp;"/"&amp;_Helper!A22&amp;CHAR(10)&amp;IF(_Helper!A30&lt;0,"Over by "&amp;ABS(_Helper!A30),IF(_Helper!A30=0,"Full",_Helper!A30&amp;" left")))</f>
        <v/>
      </c>
      <c r="B12" s="53" t="str">
        <f>IF(MONTH(_Helper!B6)&lt;&gt;$M$2,"",TEXT(_Helper!B6,"d")&amp;CHAR(10)&amp;"Booked "&amp;_Helper!B14&amp;"/"&amp;_Helper!B22&amp;CHAR(10)&amp;IF(_Helper!B30&lt;0,"Over by "&amp;ABS(_Helper!B30),IF(_Helper!B30=0,"Full",_Helper!B30&amp;" left")))</f>
        <v/>
      </c>
      <c r="C12" s="53" t="str">
        <f>IF(MONTH(_Helper!C6)&lt;&gt;$M$2,"",TEXT(_Helper!C6,"d")&amp;CHAR(10)&amp;"Booked "&amp;_Helper!C14&amp;"/"&amp;_Helper!C22&amp;CHAR(10)&amp;IF(_Helper!C30&lt;0,"Over by "&amp;ABS(_Helper!C30),IF(_Helper!C30=0,"Full",_Helper!C30&amp;" left")))</f>
        <v/>
      </c>
      <c r="D12" s="53" t="str">
        <f>IF(MONTH(_Helper!D6)&lt;&gt;$M$2,"",TEXT(_Helper!D6,"d")&amp;CHAR(10)&amp;"Booked "&amp;_Helper!D14&amp;"/"&amp;_Helper!D22&amp;CHAR(10)&amp;IF(_Helper!D30&lt;0,"Over by "&amp;ABS(_Helper!D30),IF(_Helper!D30=0,"Full",_Helper!D30&amp;" left")))</f>
        <v/>
      </c>
      <c r="E12" s="53" t="str">
        <f>IF(MONTH(_Helper!E6)&lt;&gt;$M$2,"",TEXT(_Helper!E6,"d")&amp;CHAR(10)&amp;"Booked "&amp;_Helper!E14&amp;"/"&amp;_Helper!E22&amp;CHAR(10)&amp;IF(_Helper!E30&lt;0,"Over by "&amp;ABS(_Helper!E30),IF(_Helper!E30=0,"Full",_Helper!E30&amp;" left")))</f>
        <v/>
      </c>
      <c r="F12" s="53" t="str">
        <f>IF(MONTH(_Helper!F6)&lt;&gt;$M$2,"",TEXT(_Helper!F6,"d")&amp;CHAR(10)&amp;"Booked "&amp;_Helper!F14&amp;"/"&amp;_Helper!F22&amp;CHAR(10)&amp;IF(_Helper!F30&lt;0,"Over by "&amp;ABS(_Helper!F30),IF(_Helper!F30=0,"Full",_Helper!F30&amp;" left")))</f>
        <v/>
      </c>
      <c r="G12" s="54" t="str">
        <f>IF(MONTH(_Helper!G6)&lt;&gt;$M$2,"",TEXT(_Helper!G6,"d")&amp;CHAR(10)&amp;"Booked "&amp;_Helper!G14&amp;"/"&amp;_Helper!G22&amp;CHAR(10)&amp;IF(_Helper!G30&lt;0,"Over by "&amp;ABS(_Helper!G30),IF(_Helper!G30=0,"Full",_Helper!G30&amp;" left")))</f>
        <v/>
      </c>
    </row>
    <row r="13" spans="1:13" ht="43.2" customHeight="1">
      <c r="I13" s="80" t="s">
        <v>22</v>
      </c>
      <c r="J13" s="63"/>
      <c r="K13" s="63"/>
    </row>
    <row r="14" spans="1:13">
      <c r="I14" s="63"/>
      <c r="J14" s="63"/>
      <c r="K14" s="63"/>
    </row>
    <row r="15" spans="1:13">
      <c r="I15" s="63"/>
      <c r="J15" s="63"/>
      <c r="K15" s="63"/>
    </row>
  </sheetData>
  <mergeCells count="14">
    <mergeCell ref="I13:K15"/>
    <mergeCell ref="I7:K7"/>
    <mergeCell ref="J8:K8"/>
    <mergeCell ref="J9:K9"/>
    <mergeCell ref="J10:K10"/>
    <mergeCell ref="J11:K11"/>
    <mergeCell ref="A1:G1"/>
    <mergeCell ref="A2:G2"/>
    <mergeCell ref="A5:G5"/>
    <mergeCell ref="I1:K1"/>
    <mergeCell ref="I2:J2"/>
    <mergeCell ref="I3:J3"/>
    <mergeCell ref="I4:J4"/>
    <mergeCell ref="I5:J5"/>
  </mergeCells>
  <dataValidations count="2">
    <dataValidation type="list" sqref="B4" xr:uid="{00000000-0002-0000-0000-000000000000}">
      <formula1>"January,February,March,April,May,June,July,August,September,October,November,December"</formula1>
    </dataValidation>
    <dataValidation type="whole" errorStyle="warning" allowBlank="1" showErrorMessage="1" errorTitle="Invalid year" error="Use a year from 2024 to 2030." sqref="E4" xr:uid="{00000000-0002-0000-0000-000001000000}">
      <formula1>2024</formula1>
      <formula2>2030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AND(MONTH(_Helper!A1)=$M$2,_Helper!A25&lt;0)</xm:f>
            <x14:dxf>
              <font>
                <b/>
                <color rgb="FF7F1D1D"/>
              </font>
              <fill>
                <patternFill patternType="solid">
                  <bgColor rgb="FFFECACA"/>
                </patternFill>
              </fill>
            </x14:dxf>
          </x14:cfRule>
          <x14:cfRule type="expression" priority="2" id="{00000000-000E-0000-0000-000002000000}">
            <xm:f>AND(MONTH(_Helper!A1)=$M$2,_Helper!A25=0)</xm:f>
            <x14:dxf>
              <font>
                <b/>
                <color rgb="FF991B1B"/>
              </font>
              <fill>
                <patternFill patternType="solid">
                  <bgColor rgb="FFFEE2E2"/>
                </patternFill>
              </fill>
            </x14:dxf>
          </x14:cfRule>
          <x14:cfRule type="expression" priority="3" id="{00000000-000E-0000-0000-000003000000}">
            <xm:f>AND(MONTH(_Helper!A1)=$M$2,_Helper!A25&gt;0,_Helper!A25&lt;=2)</xm:f>
            <x14:dxf>
              <font>
                <b/>
                <color rgb="FF92400E"/>
              </font>
              <fill>
                <patternFill patternType="solid">
                  <bgColor rgb="FFFEF3C7"/>
                </patternFill>
              </fill>
            </x14:dxf>
          </x14:cfRule>
          <x14:cfRule type="expression" priority="4" id="{00000000-000E-0000-0000-000004000000}">
            <xm:f>AND(MONTH(_Helper!A1)=$M$2,_Helper!A25&gt;2)</xm:f>
            <x14:dxf>
              <font>
                <color rgb="FF166534"/>
              </font>
              <fill>
                <patternFill patternType="solid">
                  <bgColor rgb="FFDCFCE7"/>
                </patternFill>
              </fill>
            </x14:dxf>
          </x14:cfRule>
          <xm:sqref>A7:G12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>
      <selection sqref="A1:H1"/>
    </sheetView>
  </sheetViews>
  <sheetFormatPr defaultRowHeight="13.8"/>
  <cols>
    <col min="1" max="1" width="13" customWidth="1"/>
    <col min="2" max="2" width="8" customWidth="1"/>
    <col min="3" max="5" width="13" customWidth="1"/>
    <col min="6" max="7" width="16" customWidth="1"/>
    <col min="8" max="8" width="12" customWidth="1"/>
    <col min="10" max="10" width="5" customWidth="1"/>
    <col min="11" max="11" width="42" customWidth="1"/>
  </cols>
  <sheetData>
    <row r="1" spans="1:11" ht="22.35" customHeight="1">
      <c r="A1" s="81" t="s">
        <v>23</v>
      </c>
      <c r="B1" s="63"/>
      <c r="C1" s="63"/>
      <c r="D1" s="63"/>
      <c r="E1" s="63"/>
      <c r="F1" s="63"/>
      <c r="G1" s="63"/>
      <c r="H1" s="63"/>
    </row>
    <row r="3" spans="1:11" ht="39.6">
      <c r="A3" s="25" t="s">
        <v>24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  <c r="H3" s="27" t="s">
        <v>31</v>
      </c>
      <c r="J3" s="34" t="s">
        <v>32</v>
      </c>
      <c r="K3" s="35"/>
    </row>
    <row r="4" spans="1:11" ht="14.4">
      <c r="A4" s="28">
        <f>DATE(Calendar_View!$E$4,Calendar_View!$M$2,1)</f>
        <v>46143</v>
      </c>
      <c r="B4" s="15" t="str">
        <f t="shared" ref="B4:B34" si="0">IF(A4="","",TEXT(A4,"ddd"))</f>
        <v>Fri</v>
      </c>
      <c r="C4" s="15">
        <f t="shared" ref="C4:C34" si="1">IF(A4="","",IF(WEEKDAY(A4,2)&lt;=5,6,4))</f>
        <v>6</v>
      </c>
      <c r="D4" s="15"/>
      <c r="E4" s="15">
        <f t="shared" ref="E4:E34" si="2">IF(A4="","",IF(D4&lt;&gt;"",D4,C4))</f>
        <v>6</v>
      </c>
      <c r="F4" s="15">
        <f>IF(A4="","",COUNTIFS(Bookings!$B$2:$B$140,A4,Bookings!$F$2:$F$140,"Approved"))</f>
        <v>0</v>
      </c>
      <c r="G4" s="15">
        <f t="shared" ref="G4:G34" si="3">IF(A4="","",E4-F4)</f>
        <v>6</v>
      </c>
      <c r="H4" s="31">
        <f t="shared" ref="H4:H34" si="4">IF(OR(A4="",E4=0),"",F4/E4)</f>
        <v>0</v>
      </c>
      <c r="J4" s="36" t="s">
        <v>33</v>
      </c>
      <c r="K4" s="37" t="s">
        <v>34</v>
      </c>
    </row>
    <row r="5" spans="1:11" ht="14.4">
      <c r="A5" s="29">
        <f>IF(A4&lt;EOMONTH(DATE(Calendar_View!$E$4,Calendar_View!$M$2,1),0),A4+1,"")</f>
        <v>46144</v>
      </c>
      <c r="B5" s="1" t="str">
        <f t="shared" si="0"/>
        <v>Sat</v>
      </c>
      <c r="C5" s="1">
        <f t="shared" si="1"/>
        <v>4</v>
      </c>
      <c r="D5" s="1"/>
      <c r="E5" s="1">
        <f t="shared" si="2"/>
        <v>4</v>
      </c>
      <c r="F5" s="1">
        <f>IF(A5="","",COUNTIFS(Bookings!$B$2:$B$140,A5,Bookings!$F$2:$F$140,"Approved"))</f>
        <v>0</v>
      </c>
      <c r="G5" s="1">
        <f t="shared" si="3"/>
        <v>4</v>
      </c>
      <c r="H5" s="32">
        <f t="shared" si="4"/>
        <v>0</v>
      </c>
      <c r="J5" s="36" t="s">
        <v>35</v>
      </c>
      <c r="K5" s="37" t="s">
        <v>36</v>
      </c>
    </row>
    <row r="6" spans="1:11" ht="14.4">
      <c r="A6" s="29">
        <f>IF(A5&lt;EOMONTH(DATE(Calendar_View!$E$4,Calendar_View!$M$2,1),0),A5+1,"")</f>
        <v>46145</v>
      </c>
      <c r="B6" s="1" t="str">
        <f t="shared" si="0"/>
        <v>Sun</v>
      </c>
      <c r="C6" s="1">
        <f t="shared" si="1"/>
        <v>4</v>
      </c>
      <c r="D6" s="1"/>
      <c r="E6" s="1">
        <f t="shared" si="2"/>
        <v>4</v>
      </c>
      <c r="F6" s="1">
        <f>IF(A6="","",COUNTIFS(Bookings!$B$2:$B$140,A6,Bookings!$F$2:$F$140,"Approved"))</f>
        <v>0</v>
      </c>
      <c r="G6" s="1">
        <f t="shared" si="3"/>
        <v>4</v>
      </c>
      <c r="H6" s="32">
        <f t="shared" si="4"/>
        <v>0</v>
      </c>
      <c r="J6" s="36" t="s">
        <v>37</v>
      </c>
      <c r="K6" s="37" t="s">
        <v>38</v>
      </c>
    </row>
    <row r="7" spans="1:11" ht="14.4">
      <c r="A7" s="29">
        <f>IF(A6&lt;EOMONTH(DATE(Calendar_View!$E$4,Calendar_View!$M$2,1),0),A6+1,"")</f>
        <v>46146</v>
      </c>
      <c r="B7" s="1" t="str">
        <f t="shared" si="0"/>
        <v>Mon</v>
      </c>
      <c r="C7" s="1">
        <f t="shared" si="1"/>
        <v>6</v>
      </c>
      <c r="D7" s="1"/>
      <c r="E7" s="1">
        <f t="shared" si="2"/>
        <v>6</v>
      </c>
      <c r="F7" s="1">
        <f>IF(A7="","",COUNTIFS(Bookings!$B$2:$B$140,A7,Bookings!$F$2:$F$140,"Approved"))</f>
        <v>0</v>
      </c>
      <c r="G7" s="1">
        <f t="shared" si="3"/>
        <v>6</v>
      </c>
      <c r="H7" s="32">
        <f t="shared" si="4"/>
        <v>0</v>
      </c>
      <c r="J7" s="38" t="s">
        <v>39</v>
      </c>
      <c r="K7" s="39" t="s">
        <v>40</v>
      </c>
    </row>
    <row r="8" spans="1:11" ht="14.4">
      <c r="A8" s="29">
        <f>IF(A7&lt;EOMONTH(DATE(Calendar_View!$E$4,Calendar_View!$M$2,1),0),A7+1,"")</f>
        <v>46147</v>
      </c>
      <c r="B8" s="1" t="str">
        <f t="shared" si="0"/>
        <v>Tue</v>
      </c>
      <c r="C8" s="1">
        <f t="shared" si="1"/>
        <v>6</v>
      </c>
      <c r="D8" s="1"/>
      <c r="E8" s="1">
        <f t="shared" si="2"/>
        <v>6</v>
      </c>
      <c r="F8" s="1">
        <f>IF(A8="","",COUNTIFS(Bookings!$B$2:$B$140,A8,Bookings!$F$2:$F$140,"Approved"))</f>
        <v>0</v>
      </c>
      <c r="G8" s="1">
        <f t="shared" si="3"/>
        <v>6</v>
      </c>
      <c r="H8" s="32">
        <f t="shared" si="4"/>
        <v>0</v>
      </c>
    </row>
    <row r="9" spans="1:11" ht="14.4">
      <c r="A9" s="29">
        <f>IF(A8&lt;EOMONTH(DATE(Calendar_View!$E$4,Calendar_View!$M$2,1),0),A8+1,"")</f>
        <v>46148</v>
      </c>
      <c r="B9" s="1" t="str">
        <f t="shared" si="0"/>
        <v>Wed</v>
      </c>
      <c r="C9" s="1">
        <f t="shared" si="1"/>
        <v>6</v>
      </c>
      <c r="D9" s="1"/>
      <c r="E9" s="1">
        <f t="shared" si="2"/>
        <v>6</v>
      </c>
      <c r="F9" s="1">
        <f>IF(A9="","",COUNTIFS(Bookings!$B$2:$B$140,A9,Bookings!$F$2:$F$140,"Approved"))</f>
        <v>0</v>
      </c>
      <c r="G9" s="1">
        <f t="shared" si="3"/>
        <v>6</v>
      </c>
      <c r="H9" s="32">
        <f t="shared" si="4"/>
        <v>0</v>
      </c>
    </row>
    <row r="10" spans="1:11" ht="14.4">
      <c r="A10" s="29">
        <f>IF(A9&lt;EOMONTH(DATE(Calendar_View!$E$4,Calendar_View!$M$2,1),0),A9+1,"")</f>
        <v>46149</v>
      </c>
      <c r="B10" s="1" t="str">
        <f t="shared" si="0"/>
        <v>Thu</v>
      </c>
      <c r="C10" s="1">
        <f t="shared" si="1"/>
        <v>6</v>
      </c>
      <c r="D10" s="1"/>
      <c r="E10" s="1">
        <f t="shared" si="2"/>
        <v>6</v>
      </c>
      <c r="F10" s="1">
        <f>IF(A10="","",COUNTIFS(Bookings!$B$2:$B$140,A10,Bookings!$F$2:$F$140,"Approved"))</f>
        <v>0</v>
      </c>
      <c r="G10" s="1">
        <f t="shared" si="3"/>
        <v>6</v>
      </c>
      <c r="H10" s="32">
        <f t="shared" si="4"/>
        <v>0</v>
      </c>
    </row>
    <row r="11" spans="1:11" ht="14.4">
      <c r="A11" s="29">
        <f>IF(A10&lt;EOMONTH(DATE(Calendar_View!$E$4,Calendar_View!$M$2,1),0),A10+1,"")</f>
        <v>46150</v>
      </c>
      <c r="B11" s="1" t="str">
        <f t="shared" si="0"/>
        <v>Fri</v>
      </c>
      <c r="C11" s="1">
        <f t="shared" si="1"/>
        <v>6</v>
      </c>
      <c r="D11" s="1">
        <v>8</v>
      </c>
      <c r="E11" s="1">
        <f t="shared" si="2"/>
        <v>8</v>
      </c>
      <c r="F11" s="1">
        <f>IF(A11="","",COUNTIFS(Bookings!$B$2:$B$140,A11,Bookings!$F$2:$F$140,"Approved"))</f>
        <v>0</v>
      </c>
      <c r="G11" s="1">
        <f t="shared" si="3"/>
        <v>8</v>
      </c>
      <c r="H11" s="32">
        <f t="shared" si="4"/>
        <v>0</v>
      </c>
    </row>
    <row r="12" spans="1:11" ht="14.4">
      <c r="A12" s="29">
        <f>IF(A11&lt;EOMONTH(DATE(Calendar_View!$E$4,Calendar_View!$M$2,1),0),A11+1,"")</f>
        <v>46151</v>
      </c>
      <c r="B12" s="1" t="str">
        <f t="shared" si="0"/>
        <v>Sat</v>
      </c>
      <c r="C12" s="1">
        <f t="shared" si="1"/>
        <v>4</v>
      </c>
      <c r="D12" s="1"/>
      <c r="E12" s="1">
        <f t="shared" si="2"/>
        <v>4</v>
      </c>
      <c r="F12" s="1">
        <f>IF(A12="","",COUNTIFS(Bookings!$B$2:$B$140,A12,Bookings!$F$2:$F$140,"Approved"))</f>
        <v>0</v>
      </c>
      <c r="G12" s="1">
        <f t="shared" si="3"/>
        <v>4</v>
      </c>
      <c r="H12" s="32">
        <f t="shared" si="4"/>
        <v>0</v>
      </c>
    </row>
    <row r="13" spans="1:11" ht="14.4">
      <c r="A13" s="29">
        <f>IF(A12&lt;EOMONTH(DATE(Calendar_View!$E$4,Calendar_View!$M$2,1),0),A12+1,"")</f>
        <v>46152</v>
      </c>
      <c r="B13" s="1" t="str">
        <f t="shared" si="0"/>
        <v>Sun</v>
      </c>
      <c r="C13" s="1">
        <f t="shared" si="1"/>
        <v>4</v>
      </c>
      <c r="D13" s="1"/>
      <c r="E13" s="1">
        <f t="shared" si="2"/>
        <v>4</v>
      </c>
      <c r="F13" s="1">
        <f>IF(A13="","",COUNTIFS(Bookings!$B$2:$B$140,A13,Bookings!$F$2:$F$140,"Approved"))</f>
        <v>0</v>
      </c>
      <c r="G13" s="1">
        <f t="shared" si="3"/>
        <v>4</v>
      </c>
      <c r="H13" s="32">
        <f t="shared" si="4"/>
        <v>0</v>
      </c>
    </row>
    <row r="14" spans="1:11" ht="14.4">
      <c r="A14" s="29">
        <f>IF(A13&lt;EOMONTH(DATE(Calendar_View!$E$4,Calendar_View!$M$2,1),0),A13+1,"")</f>
        <v>46153</v>
      </c>
      <c r="B14" s="1" t="str">
        <f t="shared" si="0"/>
        <v>Mon</v>
      </c>
      <c r="C14" s="1">
        <f t="shared" si="1"/>
        <v>6</v>
      </c>
      <c r="D14" s="1"/>
      <c r="E14" s="1">
        <f t="shared" si="2"/>
        <v>6</v>
      </c>
      <c r="F14" s="1">
        <f>IF(A14="","",COUNTIFS(Bookings!$B$2:$B$140,A14,Bookings!$F$2:$F$140,"Approved"))</f>
        <v>0</v>
      </c>
      <c r="G14" s="1">
        <f t="shared" si="3"/>
        <v>6</v>
      </c>
      <c r="H14" s="32">
        <f t="shared" si="4"/>
        <v>0</v>
      </c>
    </row>
    <row r="15" spans="1:11" ht="14.4">
      <c r="A15" s="29">
        <f>IF(A14&lt;EOMONTH(DATE(Calendar_View!$E$4,Calendar_View!$M$2,1),0),A14+1,"")</f>
        <v>46154</v>
      </c>
      <c r="B15" s="1" t="str">
        <f t="shared" si="0"/>
        <v>Tue</v>
      </c>
      <c r="C15" s="1">
        <f t="shared" si="1"/>
        <v>6</v>
      </c>
      <c r="D15" s="1">
        <v>3</v>
      </c>
      <c r="E15" s="1">
        <f t="shared" si="2"/>
        <v>3</v>
      </c>
      <c r="F15" s="1">
        <f>IF(A15="","",COUNTIFS(Bookings!$B$2:$B$140,A15,Bookings!$F$2:$F$140,"Approved"))</f>
        <v>0</v>
      </c>
      <c r="G15" s="1">
        <f t="shared" si="3"/>
        <v>3</v>
      </c>
      <c r="H15" s="32">
        <f t="shared" si="4"/>
        <v>0</v>
      </c>
    </row>
    <row r="16" spans="1:11" ht="14.4">
      <c r="A16" s="29">
        <f>IF(A15&lt;EOMONTH(DATE(Calendar_View!$E$4,Calendar_View!$M$2,1),0),A15+1,"")</f>
        <v>46155</v>
      </c>
      <c r="B16" s="1" t="str">
        <f t="shared" si="0"/>
        <v>Wed</v>
      </c>
      <c r="C16" s="1">
        <f t="shared" si="1"/>
        <v>6</v>
      </c>
      <c r="D16" s="1"/>
      <c r="E16" s="1">
        <f t="shared" si="2"/>
        <v>6</v>
      </c>
      <c r="F16" s="1">
        <f>IF(A16="","",COUNTIFS(Bookings!$B$2:$B$140,A16,Bookings!$F$2:$F$140,"Approved"))</f>
        <v>0</v>
      </c>
      <c r="G16" s="1">
        <f t="shared" si="3"/>
        <v>6</v>
      </c>
      <c r="H16" s="32">
        <f t="shared" si="4"/>
        <v>0</v>
      </c>
    </row>
    <row r="17" spans="1:8" ht="14.4">
      <c r="A17" s="29">
        <f>IF(A16&lt;EOMONTH(DATE(Calendar_View!$E$4,Calendar_View!$M$2,1),0),A16+1,"")</f>
        <v>46156</v>
      </c>
      <c r="B17" s="1" t="str">
        <f t="shared" si="0"/>
        <v>Thu</v>
      </c>
      <c r="C17" s="1">
        <f t="shared" si="1"/>
        <v>6</v>
      </c>
      <c r="D17" s="1"/>
      <c r="E17" s="1">
        <f t="shared" si="2"/>
        <v>6</v>
      </c>
      <c r="F17" s="1">
        <f>IF(A17="","",COUNTIFS(Bookings!$B$2:$B$140,A17,Bookings!$F$2:$F$140,"Approved"))</f>
        <v>0</v>
      </c>
      <c r="G17" s="1">
        <f t="shared" si="3"/>
        <v>6</v>
      </c>
      <c r="H17" s="32">
        <f t="shared" si="4"/>
        <v>0</v>
      </c>
    </row>
    <row r="18" spans="1:8" ht="14.4">
      <c r="A18" s="29">
        <f>IF(A17&lt;EOMONTH(DATE(Calendar_View!$E$4,Calendar_View!$M$2,1),0),A17+1,"")</f>
        <v>46157</v>
      </c>
      <c r="B18" s="1" t="str">
        <f t="shared" si="0"/>
        <v>Fri</v>
      </c>
      <c r="C18" s="1">
        <f t="shared" si="1"/>
        <v>6</v>
      </c>
      <c r="D18" s="1">
        <v>5</v>
      </c>
      <c r="E18" s="1">
        <f t="shared" si="2"/>
        <v>5</v>
      </c>
      <c r="F18" s="1">
        <f>IF(A18="","",COUNTIFS(Bookings!$B$2:$B$140,A18,Bookings!$F$2:$F$140,"Approved"))</f>
        <v>0</v>
      </c>
      <c r="G18" s="1">
        <f t="shared" si="3"/>
        <v>5</v>
      </c>
      <c r="H18" s="32">
        <f t="shared" si="4"/>
        <v>0</v>
      </c>
    </row>
    <row r="19" spans="1:8" ht="14.4">
      <c r="A19" s="29">
        <f>IF(A18&lt;EOMONTH(DATE(Calendar_View!$E$4,Calendar_View!$M$2,1),0),A18+1,"")</f>
        <v>46158</v>
      </c>
      <c r="B19" s="1" t="str">
        <f t="shared" si="0"/>
        <v>Sat</v>
      </c>
      <c r="C19" s="1">
        <f t="shared" si="1"/>
        <v>4</v>
      </c>
      <c r="D19" s="1"/>
      <c r="E19" s="1">
        <f t="shared" si="2"/>
        <v>4</v>
      </c>
      <c r="F19" s="1">
        <f>IF(A19="","",COUNTIFS(Bookings!$B$2:$B$140,A19,Bookings!$F$2:$F$140,"Approved"))</f>
        <v>0</v>
      </c>
      <c r="G19" s="1">
        <f t="shared" si="3"/>
        <v>4</v>
      </c>
      <c r="H19" s="32">
        <f t="shared" si="4"/>
        <v>0</v>
      </c>
    </row>
    <row r="20" spans="1:8" ht="14.4">
      <c r="A20" s="29">
        <f>IF(A19&lt;EOMONTH(DATE(Calendar_View!$E$4,Calendar_View!$M$2,1),0),A19+1,"")</f>
        <v>46159</v>
      </c>
      <c r="B20" s="1" t="str">
        <f t="shared" si="0"/>
        <v>Sun</v>
      </c>
      <c r="C20" s="1">
        <f t="shared" si="1"/>
        <v>4</v>
      </c>
      <c r="D20" s="1"/>
      <c r="E20" s="1">
        <f t="shared" si="2"/>
        <v>4</v>
      </c>
      <c r="F20" s="1">
        <f>IF(A20="","",COUNTIFS(Bookings!$B$2:$B$140,A20,Bookings!$F$2:$F$140,"Approved"))</f>
        <v>0</v>
      </c>
      <c r="G20" s="1">
        <f t="shared" si="3"/>
        <v>4</v>
      </c>
      <c r="H20" s="32">
        <f t="shared" si="4"/>
        <v>0</v>
      </c>
    </row>
    <row r="21" spans="1:8" ht="14.4">
      <c r="A21" s="29">
        <f>IF(A20&lt;EOMONTH(DATE(Calendar_View!$E$4,Calendar_View!$M$2,1),0),A20+1,"")</f>
        <v>46160</v>
      </c>
      <c r="B21" s="1" t="str">
        <f t="shared" si="0"/>
        <v>Mon</v>
      </c>
      <c r="C21" s="1">
        <f t="shared" si="1"/>
        <v>6</v>
      </c>
      <c r="D21" s="1"/>
      <c r="E21" s="1">
        <f t="shared" si="2"/>
        <v>6</v>
      </c>
      <c r="F21" s="1">
        <f>IF(A21="","",COUNTIFS(Bookings!$B$2:$B$140,A21,Bookings!$F$2:$F$140,"Approved"))</f>
        <v>0</v>
      </c>
      <c r="G21" s="1">
        <f t="shared" si="3"/>
        <v>6</v>
      </c>
      <c r="H21" s="32">
        <f t="shared" si="4"/>
        <v>0</v>
      </c>
    </row>
    <row r="22" spans="1:8" ht="14.4">
      <c r="A22" s="29">
        <f>IF(A21&lt;EOMONTH(DATE(Calendar_View!$E$4,Calendar_View!$M$2,1),0),A21+1,"")</f>
        <v>46161</v>
      </c>
      <c r="B22" s="1" t="str">
        <f t="shared" si="0"/>
        <v>Tue</v>
      </c>
      <c r="C22" s="1">
        <f t="shared" si="1"/>
        <v>6</v>
      </c>
      <c r="D22" s="1"/>
      <c r="E22" s="1">
        <f t="shared" si="2"/>
        <v>6</v>
      </c>
      <c r="F22" s="1">
        <f>IF(A22="","",COUNTIFS(Bookings!$B$2:$B$140,A22,Bookings!$F$2:$F$140,"Approved"))</f>
        <v>0</v>
      </c>
      <c r="G22" s="1">
        <f t="shared" si="3"/>
        <v>6</v>
      </c>
      <c r="H22" s="32">
        <f t="shared" si="4"/>
        <v>0</v>
      </c>
    </row>
    <row r="23" spans="1:8" ht="14.4">
      <c r="A23" s="29">
        <f>IF(A22&lt;EOMONTH(DATE(Calendar_View!$E$4,Calendar_View!$M$2,1),0),A22+1,"")</f>
        <v>46162</v>
      </c>
      <c r="B23" s="1" t="str">
        <f t="shared" si="0"/>
        <v>Wed</v>
      </c>
      <c r="C23" s="1">
        <f t="shared" si="1"/>
        <v>6</v>
      </c>
      <c r="D23" s="1"/>
      <c r="E23" s="1">
        <f t="shared" si="2"/>
        <v>6</v>
      </c>
      <c r="F23" s="1">
        <f>IF(A23="","",COUNTIFS(Bookings!$B$2:$B$140,A23,Bookings!$F$2:$F$140,"Approved"))</f>
        <v>0</v>
      </c>
      <c r="G23" s="1">
        <f t="shared" si="3"/>
        <v>6</v>
      </c>
      <c r="H23" s="32">
        <f t="shared" si="4"/>
        <v>0</v>
      </c>
    </row>
    <row r="24" spans="1:8" ht="14.4">
      <c r="A24" s="29">
        <f>IF(A23&lt;EOMONTH(DATE(Calendar_View!$E$4,Calendar_View!$M$2,1),0),A23+1,"")</f>
        <v>46163</v>
      </c>
      <c r="B24" s="1" t="str">
        <f t="shared" si="0"/>
        <v>Thu</v>
      </c>
      <c r="C24" s="1">
        <f t="shared" si="1"/>
        <v>6</v>
      </c>
      <c r="D24" s="1">
        <v>8</v>
      </c>
      <c r="E24" s="1">
        <f t="shared" si="2"/>
        <v>8</v>
      </c>
      <c r="F24" s="1">
        <f>IF(A24="","",COUNTIFS(Bookings!$B$2:$B$140,A24,Bookings!$F$2:$F$140,"Approved"))</f>
        <v>0</v>
      </c>
      <c r="G24" s="1">
        <f t="shared" si="3"/>
        <v>8</v>
      </c>
      <c r="H24" s="32">
        <f t="shared" si="4"/>
        <v>0</v>
      </c>
    </row>
    <row r="25" spans="1:8" ht="14.4">
      <c r="A25" s="29">
        <f>IF(A24&lt;EOMONTH(DATE(Calendar_View!$E$4,Calendar_View!$M$2,1),0),A24+1,"")</f>
        <v>46164</v>
      </c>
      <c r="B25" s="1" t="str">
        <f t="shared" si="0"/>
        <v>Fri</v>
      </c>
      <c r="C25" s="1">
        <f t="shared" si="1"/>
        <v>6</v>
      </c>
      <c r="D25" s="1"/>
      <c r="E25" s="1">
        <f t="shared" si="2"/>
        <v>6</v>
      </c>
      <c r="F25" s="1">
        <f>IF(A25="","",COUNTIFS(Bookings!$B$2:$B$140,A25,Bookings!$F$2:$F$140,"Approved"))</f>
        <v>0</v>
      </c>
      <c r="G25" s="1">
        <f t="shared" si="3"/>
        <v>6</v>
      </c>
      <c r="H25" s="32">
        <f t="shared" si="4"/>
        <v>0</v>
      </c>
    </row>
    <row r="26" spans="1:8" ht="14.4">
      <c r="A26" s="29">
        <f>IF(A25&lt;EOMONTH(DATE(Calendar_View!$E$4,Calendar_View!$M$2,1),0),A25+1,"")</f>
        <v>46165</v>
      </c>
      <c r="B26" s="1" t="str">
        <f t="shared" si="0"/>
        <v>Sat</v>
      </c>
      <c r="C26" s="1">
        <f t="shared" si="1"/>
        <v>4</v>
      </c>
      <c r="D26" s="1"/>
      <c r="E26" s="1">
        <f t="shared" si="2"/>
        <v>4</v>
      </c>
      <c r="F26" s="1">
        <f>IF(A26="","",COUNTIFS(Bookings!$B$2:$B$140,A26,Bookings!$F$2:$F$140,"Approved"))</f>
        <v>0</v>
      </c>
      <c r="G26" s="1">
        <f t="shared" si="3"/>
        <v>4</v>
      </c>
      <c r="H26" s="32">
        <f t="shared" si="4"/>
        <v>0</v>
      </c>
    </row>
    <row r="27" spans="1:8" ht="14.4">
      <c r="A27" s="29">
        <f>IF(A26&lt;EOMONTH(DATE(Calendar_View!$E$4,Calendar_View!$M$2,1),0),A26+1,"")</f>
        <v>46166</v>
      </c>
      <c r="B27" s="1" t="str">
        <f t="shared" si="0"/>
        <v>Sun</v>
      </c>
      <c r="C27" s="1">
        <f t="shared" si="1"/>
        <v>4</v>
      </c>
      <c r="D27" s="1"/>
      <c r="E27" s="1">
        <f t="shared" si="2"/>
        <v>4</v>
      </c>
      <c r="F27" s="1">
        <f>IF(A27="","",COUNTIFS(Bookings!$B$2:$B$140,A27,Bookings!$F$2:$F$140,"Approved"))</f>
        <v>0</v>
      </c>
      <c r="G27" s="1">
        <f t="shared" si="3"/>
        <v>4</v>
      </c>
      <c r="H27" s="32">
        <f t="shared" si="4"/>
        <v>0</v>
      </c>
    </row>
    <row r="28" spans="1:8" ht="14.4">
      <c r="A28" s="29">
        <f>IF(A27&lt;EOMONTH(DATE(Calendar_View!$E$4,Calendar_View!$M$2,1),0),A27+1,"")</f>
        <v>46167</v>
      </c>
      <c r="B28" s="1" t="str">
        <f t="shared" si="0"/>
        <v>Mon</v>
      </c>
      <c r="C28" s="1">
        <f t="shared" si="1"/>
        <v>6</v>
      </c>
      <c r="D28" s="1"/>
      <c r="E28" s="1">
        <f t="shared" si="2"/>
        <v>6</v>
      </c>
      <c r="F28" s="1">
        <f>IF(A28="","",COUNTIFS(Bookings!$B$2:$B$140,A28,Bookings!$F$2:$F$140,"Approved"))</f>
        <v>0</v>
      </c>
      <c r="G28" s="1">
        <f t="shared" si="3"/>
        <v>6</v>
      </c>
      <c r="H28" s="32">
        <f t="shared" si="4"/>
        <v>0</v>
      </c>
    </row>
    <row r="29" spans="1:8" ht="14.4">
      <c r="A29" s="29">
        <f>IF(A28&lt;EOMONTH(DATE(Calendar_View!$E$4,Calendar_View!$M$2,1),0),A28+1,"")</f>
        <v>46168</v>
      </c>
      <c r="B29" s="1" t="str">
        <f t="shared" si="0"/>
        <v>Tue</v>
      </c>
      <c r="C29" s="1">
        <f t="shared" si="1"/>
        <v>6</v>
      </c>
      <c r="D29" s="1"/>
      <c r="E29" s="1">
        <f t="shared" si="2"/>
        <v>6</v>
      </c>
      <c r="F29" s="1">
        <f>IF(A29="","",COUNTIFS(Bookings!$B$2:$B$140,A29,Bookings!$F$2:$F$140,"Approved"))</f>
        <v>0</v>
      </c>
      <c r="G29" s="1">
        <f t="shared" si="3"/>
        <v>6</v>
      </c>
      <c r="H29" s="32">
        <f t="shared" si="4"/>
        <v>0</v>
      </c>
    </row>
    <row r="30" spans="1:8" ht="14.4">
      <c r="A30" s="29">
        <f>IF(A29&lt;EOMONTH(DATE(Calendar_View!$E$4,Calendar_View!$M$2,1),0),A29+1,"")</f>
        <v>46169</v>
      </c>
      <c r="B30" s="1" t="str">
        <f t="shared" si="0"/>
        <v>Wed</v>
      </c>
      <c r="C30" s="1">
        <f t="shared" si="1"/>
        <v>6</v>
      </c>
      <c r="D30" s="1"/>
      <c r="E30" s="1">
        <f t="shared" si="2"/>
        <v>6</v>
      </c>
      <c r="F30" s="1">
        <f>IF(A30="","",COUNTIFS(Bookings!$B$2:$B$140,A30,Bookings!$F$2:$F$140,"Approved"))</f>
        <v>0</v>
      </c>
      <c r="G30" s="1">
        <f t="shared" si="3"/>
        <v>6</v>
      </c>
      <c r="H30" s="32">
        <f t="shared" si="4"/>
        <v>0</v>
      </c>
    </row>
    <row r="31" spans="1:8" ht="14.4">
      <c r="A31" s="29">
        <f>IF(A30&lt;EOMONTH(DATE(Calendar_View!$E$4,Calendar_View!$M$2,1),0),A30+1,"")</f>
        <v>46170</v>
      </c>
      <c r="B31" s="1" t="str">
        <f t="shared" si="0"/>
        <v>Thu</v>
      </c>
      <c r="C31" s="1">
        <f t="shared" si="1"/>
        <v>6</v>
      </c>
      <c r="D31" s="1">
        <v>5</v>
      </c>
      <c r="E31" s="1">
        <f t="shared" si="2"/>
        <v>5</v>
      </c>
      <c r="F31" s="1">
        <f>IF(A31="","",COUNTIFS(Bookings!$B$2:$B$140,A31,Bookings!$F$2:$F$140,"Approved"))</f>
        <v>0</v>
      </c>
      <c r="G31" s="1">
        <f t="shared" si="3"/>
        <v>5</v>
      </c>
      <c r="H31" s="32">
        <f t="shared" si="4"/>
        <v>0</v>
      </c>
    </row>
    <row r="32" spans="1:8" ht="14.4">
      <c r="A32" s="29">
        <f>IF(A31&lt;EOMONTH(DATE(Calendar_View!$E$4,Calendar_View!$M$2,1),0),A31+1,"")</f>
        <v>46171</v>
      </c>
      <c r="B32" s="1" t="str">
        <f t="shared" si="0"/>
        <v>Fri</v>
      </c>
      <c r="C32" s="1">
        <f t="shared" si="1"/>
        <v>6</v>
      </c>
      <c r="D32" s="1"/>
      <c r="E32" s="1">
        <f t="shared" si="2"/>
        <v>6</v>
      </c>
      <c r="F32" s="1">
        <f>IF(A32="","",COUNTIFS(Bookings!$B$2:$B$140,A32,Bookings!$F$2:$F$140,"Approved"))</f>
        <v>0</v>
      </c>
      <c r="G32" s="1">
        <f t="shared" si="3"/>
        <v>6</v>
      </c>
      <c r="H32" s="32">
        <f t="shared" si="4"/>
        <v>0</v>
      </c>
    </row>
    <row r="33" spans="1:8" ht="14.4">
      <c r="A33" s="29">
        <f>IF(A32&lt;EOMONTH(DATE(Calendar_View!$E$4,Calendar_View!$M$2,1),0),A32+1,"")</f>
        <v>46172</v>
      </c>
      <c r="B33" s="1" t="str">
        <f t="shared" si="0"/>
        <v>Sat</v>
      </c>
      <c r="C33" s="1">
        <f t="shared" si="1"/>
        <v>4</v>
      </c>
      <c r="D33" s="1"/>
      <c r="E33" s="1">
        <f t="shared" si="2"/>
        <v>4</v>
      </c>
      <c r="F33" s="1">
        <f>IF(A33="","",COUNTIFS(Bookings!$B$2:$B$140,A33,Bookings!$F$2:$F$140,"Approved"))</f>
        <v>0</v>
      </c>
      <c r="G33" s="1">
        <f t="shared" si="3"/>
        <v>4</v>
      </c>
      <c r="H33" s="32">
        <f t="shared" si="4"/>
        <v>0</v>
      </c>
    </row>
    <row r="34" spans="1:8" ht="14.4">
      <c r="A34" s="30">
        <f>IF(A33&lt;EOMONTH(DATE(Calendar_View!$E$4,Calendar_View!$M$2,1),0),A33+1,"")</f>
        <v>46173</v>
      </c>
      <c r="B34" s="20" t="str">
        <f t="shared" si="0"/>
        <v>Sun</v>
      </c>
      <c r="C34" s="20">
        <f t="shared" si="1"/>
        <v>4</v>
      </c>
      <c r="D34" s="20"/>
      <c r="E34" s="20">
        <f t="shared" si="2"/>
        <v>4</v>
      </c>
      <c r="F34" s="20">
        <f>IF(A34="","",COUNTIFS(Bookings!$B$2:$B$140,A34,Bookings!$F$2:$F$140,"Approved"))</f>
        <v>0</v>
      </c>
      <c r="G34" s="20">
        <f t="shared" si="3"/>
        <v>4</v>
      </c>
      <c r="H34" s="33">
        <f t="shared" si="4"/>
        <v>0</v>
      </c>
    </row>
  </sheetData>
  <mergeCells count="1">
    <mergeCell ref="A1:H1"/>
  </mergeCells>
  <conditionalFormatting sqref="G4:G34">
    <cfRule type="expression" dxfId="6" priority="1">
      <formula>G4&lt;0</formula>
    </cfRule>
    <cfRule type="expression" dxfId="5" priority="2">
      <formula>G4=0</formula>
    </cfRule>
    <cfRule type="expression" dxfId="4" priority="3">
      <formula>AND(G4&gt;0,G4&lt;=2)</formula>
    </cfRule>
    <cfRule type="expression" dxfId="3" priority="4">
      <formula>G4&gt;2</formula>
    </cfRule>
  </conditionalFormatting>
  <conditionalFormatting sqref="H4:H34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0"/>
  <sheetViews>
    <sheetView workbookViewId="0"/>
  </sheetViews>
  <sheetFormatPr defaultRowHeight="13.8"/>
  <cols>
    <col min="1" max="1" width="14" customWidth="1"/>
    <col min="2" max="2" width="13" customWidth="1"/>
    <col min="3" max="3" width="14" customWidth="1"/>
    <col min="4" max="4" width="12" customWidth="1"/>
    <col min="5" max="5" width="13" customWidth="1"/>
    <col min="6" max="6" width="12" customWidth="1"/>
    <col min="7" max="7" width="18" customWidth="1"/>
  </cols>
  <sheetData>
    <row r="1" spans="1:7">
      <c r="A1" s="11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3" t="s">
        <v>47</v>
      </c>
    </row>
    <row r="2" spans="1:7" ht="14.4">
      <c r="A2" s="14" t="s">
        <v>48</v>
      </c>
      <c r="B2" s="22">
        <v>46113</v>
      </c>
      <c r="C2" s="15" t="s">
        <v>49</v>
      </c>
      <c r="D2" s="15" t="s">
        <v>50</v>
      </c>
      <c r="E2" s="15" t="s">
        <v>51</v>
      </c>
      <c r="F2" s="15" t="s">
        <v>52</v>
      </c>
      <c r="G2" s="16"/>
    </row>
    <row r="3" spans="1:7" ht="14.4">
      <c r="A3" s="17" t="s">
        <v>53</v>
      </c>
      <c r="B3" s="23">
        <v>46113</v>
      </c>
      <c r="C3" s="1" t="s">
        <v>54</v>
      </c>
      <c r="D3" s="1" t="s">
        <v>50</v>
      </c>
      <c r="E3" s="1" t="s">
        <v>55</v>
      </c>
      <c r="F3" s="1" t="s">
        <v>52</v>
      </c>
      <c r="G3" s="18"/>
    </row>
    <row r="4" spans="1:7" ht="14.4">
      <c r="A4" s="17" t="s">
        <v>56</v>
      </c>
      <c r="B4" s="23">
        <v>46113</v>
      </c>
      <c r="C4" s="1" t="s">
        <v>57</v>
      </c>
      <c r="D4" s="1" t="s">
        <v>58</v>
      </c>
      <c r="E4" s="1" t="s">
        <v>51</v>
      </c>
      <c r="F4" s="1" t="s">
        <v>52</v>
      </c>
      <c r="G4" s="18"/>
    </row>
    <row r="5" spans="1:7" ht="14.4">
      <c r="A5" s="17" t="s">
        <v>59</v>
      </c>
      <c r="B5" s="23">
        <v>46113</v>
      </c>
      <c r="C5" s="1" t="s">
        <v>49</v>
      </c>
      <c r="D5" s="1" t="s">
        <v>60</v>
      </c>
      <c r="E5" s="1" t="s">
        <v>51</v>
      </c>
      <c r="F5" s="1" t="s">
        <v>52</v>
      </c>
      <c r="G5" s="18"/>
    </row>
    <row r="6" spans="1:7" ht="14.4">
      <c r="A6" s="17" t="s">
        <v>61</v>
      </c>
      <c r="B6" s="23">
        <v>46114</v>
      </c>
      <c r="C6" s="1" t="s">
        <v>62</v>
      </c>
      <c r="D6" s="1" t="s">
        <v>58</v>
      </c>
      <c r="E6" s="1" t="s">
        <v>51</v>
      </c>
      <c r="F6" s="1" t="s">
        <v>52</v>
      </c>
      <c r="G6" s="18"/>
    </row>
    <row r="7" spans="1:7" ht="14.4">
      <c r="A7" s="17" t="s">
        <v>63</v>
      </c>
      <c r="B7" s="23">
        <v>46114</v>
      </c>
      <c r="C7" s="1" t="s">
        <v>64</v>
      </c>
      <c r="D7" s="1" t="s">
        <v>65</v>
      </c>
      <c r="E7" s="1" t="s">
        <v>55</v>
      </c>
      <c r="F7" s="1" t="s">
        <v>52</v>
      </c>
      <c r="G7" s="18"/>
    </row>
    <row r="8" spans="1:7" ht="14.4">
      <c r="A8" s="17" t="s">
        <v>66</v>
      </c>
      <c r="B8" s="23">
        <v>46114</v>
      </c>
      <c r="C8" s="1" t="s">
        <v>67</v>
      </c>
      <c r="D8" s="1" t="s">
        <v>58</v>
      </c>
      <c r="E8" s="1" t="s">
        <v>51</v>
      </c>
      <c r="F8" s="1" t="s">
        <v>52</v>
      </c>
      <c r="G8" s="18"/>
    </row>
    <row r="9" spans="1:7" ht="14.4">
      <c r="A9" s="17" t="s">
        <v>68</v>
      </c>
      <c r="B9" s="23">
        <v>46114</v>
      </c>
      <c r="C9" s="1" t="s">
        <v>69</v>
      </c>
      <c r="D9" s="1" t="s">
        <v>70</v>
      </c>
      <c r="E9" s="1" t="s">
        <v>51</v>
      </c>
      <c r="F9" s="1" t="s">
        <v>71</v>
      </c>
      <c r="G9" s="18" t="s">
        <v>72</v>
      </c>
    </row>
    <row r="10" spans="1:7" ht="14.4">
      <c r="A10" s="17" t="s">
        <v>73</v>
      </c>
      <c r="B10" s="23">
        <v>46115</v>
      </c>
      <c r="C10" s="1" t="s">
        <v>74</v>
      </c>
      <c r="D10" s="1" t="s">
        <v>58</v>
      </c>
      <c r="E10" s="1" t="s">
        <v>75</v>
      </c>
      <c r="F10" s="1" t="s">
        <v>52</v>
      </c>
      <c r="G10" s="18"/>
    </row>
    <row r="11" spans="1:7" ht="14.4">
      <c r="A11" s="17" t="s">
        <v>76</v>
      </c>
      <c r="B11" s="23">
        <v>46115</v>
      </c>
      <c r="C11" s="1" t="s">
        <v>64</v>
      </c>
      <c r="D11" s="1" t="s">
        <v>77</v>
      </c>
      <c r="E11" s="1" t="s">
        <v>51</v>
      </c>
      <c r="F11" s="1" t="s">
        <v>52</v>
      </c>
      <c r="G11" s="18"/>
    </row>
    <row r="12" spans="1:7" ht="14.4">
      <c r="A12" s="17" t="s">
        <v>78</v>
      </c>
      <c r="B12" s="23">
        <v>46115</v>
      </c>
      <c r="C12" s="1" t="s">
        <v>79</v>
      </c>
      <c r="D12" s="1" t="s">
        <v>60</v>
      </c>
      <c r="E12" s="1" t="s">
        <v>51</v>
      </c>
      <c r="F12" s="1" t="s">
        <v>52</v>
      </c>
      <c r="G12" s="18"/>
    </row>
    <row r="13" spans="1:7" ht="14.4">
      <c r="A13" s="17" t="s">
        <v>80</v>
      </c>
      <c r="B13" s="23">
        <v>46115</v>
      </c>
      <c r="C13" s="1" t="s">
        <v>81</v>
      </c>
      <c r="D13" s="1" t="s">
        <v>58</v>
      </c>
      <c r="E13" s="1" t="s">
        <v>51</v>
      </c>
      <c r="F13" s="1" t="s">
        <v>52</v>
      </c>
      <c r="G13" s="18"/>
    </row>
    <row r="14" spans="1:7" ht="14.4">
      <c r="A14" s="17" t="s">
        <v>82</v>
      </c>
      <c r="B14" s="23">
        <v>46115</v>
      </c>
      <c r="C14" s="1" t="s">
        <v>83</v>
      </c>
      <c r="D14" s="1" t="s">
        <v>70</v>
      </c>
      <c r="E14" s="1" t="s">
        <v>51</v>
      </c>
      <c r="F14" s="1" t="s">
        <v>52</v>
      </c>
      <c r="G14" s="18"/>
    </row>
    <row r="15" spans="1:7" ht="14.4">
      <c r="A15" s="17" t="s">
        <v>84</v>
      </c>
      <c r="B15" s="23">
        <v>46115</v>
      </c>
      <c r="C15" s="1" t="s">
        <v>85</v>
      </c>
      <c r="D15" s="1" t="s">
        <v>77</v>
      </c>
      <c r="E15" s="1" t="s">
        <v>55</v>
      </c>
      <c r="F15" s="1" t="s">
        <v>52</v>
      </c>
      <c r="G15" s="18"/>
    </row>
    <row r="16" spans="1:7" ht="14.4">
      <c r="A16" s="17" t="s">
        <v>86</v>
      </c>
      <c r="B16" s="23">
        <v>46116</v>
      </c>
      <c r="C16" s="1" t="s">
        <v>57</v>
      </c>
      <c r="D16" s="1" t="s">
        <v>58</v>
      </c>
      <c r="E16" s="1" t="s">
        <v>75</v>
      </c>
      <c r="F16" s="1" t="s">
        <v>52</v>
      </c>
      <c r="G16" s="18"/>
    </row>
    <row r="17" spans="1:7" ht="14.4">
      <c r="A17" s="17" t="s">
        <v>87</v>
      </c>
      <c r="B17" s="23">
        <v>46116</v>
      </c>
      <c r="C17" s="1" t="s">
        <v>88</v>
      </c>
      <c r="D17" s="1" t="s">
        <v>70</v>
      </c>
      <c r="E17" s="1" t="s">
        <v>75</v>
      </c>
      <c r="F17" s="1" t="s">
        <v>71</v>
      </c>
      <c r="G17" s="18" t="s">
        <v>72</v>
      </c>
    </row>
    <row r="18" spans="1:7" ht="14.4">
      <c r="A18" s="17" t="s">
        <v>89</v>
      </c>
      <c r="B18" s="23">
        <v>46117</v>
      </c>
      <c r="C18" s="1" t="s">
        <v>90</v>
      </c>
      <c r="D18" s="1" t="s">
        <v>60</v>
      </c>
      <c r="E18" s="1" t="s">
        <v>51</v>
      </c>
      <c r="F18" s="1" t="s">
        <v>52</v>
      </c>
      <c r="G18" s="18"/>
    </row>
    <row r="19" spans="1:7" ht="14.4">
      <c r="A19" s="17" t="s">
        <v>91</v>
      </c>
      <c r="B19" s="23">
        <v>46117</v>
      </c>
      <c r="C19" s="1" t="s">
        <v>49</v>
      </c>
      <c r="D19" s="1" t="s">
        <v>58</v>
      </c>
      <c r="E19" s="1" t="s">
        <v>51</v>
      </c>
      <c r="F19" s="1" t="s">
        <v>52</v>
      </c>
      <c r="G19" s="18"/>
    </row>
    <row r="20" spans="1:7" ht="14.4">
      <c r="A20" s="17" t="s">
        <v>92</v>
      </c>
      <c r="B20" s="23">
        <v>46117</v>
      </c>
      <c r="C20" s="1" t="s">
        <v>93</v>
      </c>
      <c r="D20" s="1" t="s">
        <v>60</v>
      </c>
      <c r="E20" s="1" t="s">
        <v>51</v>
      </c>
      <c r="F20" s="1" t="s">
        <v>52</v>
      </c>
      <c r="G20" s="18"/>
    </row>
    <row r="21" spans="1:7" ht="14.4">
      <c r="A21" s="17" t="s">
        <v>94</v>
      </c>
      <c r="B21" s="23">
        <v>46117</v>
      </c>
      <c r="C21" s="1" t="s">
        <v>67</v>
      </c>
      <c r="D21" s="1" t="s">
        <v>65</v>
      </c>
      <c r="E21" s="1" t="s">
        <v>51</v>
      </c>
      <c r="F21" s="1" t="s">
        <v>71</v>
      </c>
      <c r="G21" s="18" t="s">
        <v>72</v>
      </c>
    </row>
    <row r="22" spans="1:7" ht="14.4">
      <c r="A22" s="17" t="s">
        <v>95</v>
      </c>
      <c r="B22" s="23">
        <v>46117</v>
      </c>
      <c r="C22" s="1" t="s">
        <v>67</v>
      </c>
      <c r="D22" s="1" t="s">
        <v>65</v>
      </c>
      <c r="E22" s="1" t="s">
        <v>51</v>
      </c>
      <c r="F22" s="1" t="s">
        <v>71</v>
      </c>
      <c r="G22" s="18" t="s">
        <v>72</v>
      </c>
    </row>
    <row r="23" spans="1:7" ht="14.4">
      <c r="A23" s="17" t="s">
        <v>96</v>
      </c>
      <c r="B23" s="23">
        <v>46118</v>
      </c>
      <c r="C23" s="1" t="s">
        <v>97</v>
      </c>
      <c r="D23" s="1" t="s">
        <v>60</v>
      </c>
      <c r="E23" s="1" t="s">
        <v>75</v>
      </c>
      <c r="F23" s="1" t="s">
        <v>52</v>
      </c>
      <c r="G23" s="18"/>
    </row>
    <row r="24" spans="1:7" ht="14.4">
      <c r="A24" s="17" t="s">
        <v>98</v>
      </c>
      <c r="B24" s="23">
        <v>46118</v>
      </c>
      <c r="C24" s="1" t="s">
        <v>99</v>
      </c>
      <c r="D24" s="1" t="s">
        <v>60</v>
      </c>
      <c r="E24" s="1" t="s">
        <v>75</v>
      </c>
      <c r="F24" s="1" t="s">
        <v>52</v>
      </c>
      <c r="G24" s="18"/>
    </row>
    <row r="25" spans="1:7" ht="14.4">
      <c r="A25" s="17" t="s">
        <v>100</v>
      </c>
      <c r="B25" s="23">
        <v>46118</v>
      </c>
      <c r="C25" s="1" t="s">
        <v>74</v>
      </c>
      <c r="D25" s="1" t="s">
        <v>77</v>
      </c>
      <c r="E25" s="1" t="s">
        <v>51</v>
      </c>
      <c r="F25" s="1" t="s">
        <v>101</v>
      </c>
      <c r="G25" s="18" t="s">
        <v>72</v>
      </c>
    </row>
    <row r="26" spans="1:7" ht="14.4">
      <c r="A26" s="17" t="s">
        <v>102</v>
      </c>
      <c r="B26" s="23">
        <v>46119</v>
      </c>
      <c r="C26" s="1" t="s">
        <v>103</v>
      </c>
      <c r="D26" s="1" t="s">
        <v>65</v>
      </c>
      <c r="E26" s="1" t="s">
        <v>75</v>
      </c>
      <c r="F26" s="1" t="s">
        <v>52</v>
      </c>
      <c r="G26" s="18"/>
    </row>
    <row r="27" spans="1:7" ht="14.4">
      <c r="A27" s="17" t="s">
        <v>104</v>
      </c>
      <c r="B27" s="23">
        <v>46119</v>
      </c>
      <c r="C27" s="1" t="s">
        <v>105</v>
      </c>
      <c r="D27" s="1" t="s">
        <v>50</v>
      </c>
      <c r="E27" s="1" t="s">
        <v>51</v>
      </c>
      <c r="F27" s="1" t="s">
        <v>52</v>
      </c>
      <c r="G27" s="18"/>
    </row>
    <row r="28" spans="1:7" ht="14.4">
      <c r="A28" s="17" t="s">
        <v>106</v>
      </c>
      <c r="B28" s="23">
        <v>46119</v>
      </c>
      <c r="C28" s="1" t="s">
        <v>107</v>
      </c>
      <c r="D28" s="1" t="s">
        <v>60</v>
      </c>
      <c r="E28" s="1" t="s">
        <v>51</v>
      </c>
      <c r="F28" s="1" t="s">
        <v>52</v>
      </c>
      <c r="G28" s="18"/>
    </row>
    <row r="29" spans="1:7" ht="14.4">
      <c r="A29" s="17" t="s">
        <v>108</v>
      </c>
      <c r="B29" s="23">
        <v>46119</v>
      </c>
      <c r="C29" s="1" t="s">
        <v>109</v>
      </c>
      <c r="D29" s="1" t="s">
        <v>70</v>
      </c>
      <c r="E29" s="1" t="s">
        <v>75</v>
      </c>
      <c r="F29" s="1" t="s">
        <v>52</v>
      </c>
      <c r="G29" s="18"/>
    </row>
    <row r="30" spans="1:7" ht="14.4">
      <c r="A30" s="17" t="s">
        <v>110</v>
      </c>
      <c r="B30" s="23">
        <v>46120</v>
      </c>
      <c r="C30" s="1" t="s">
        <v>111</v>
      </c>
      <c r="D30" s="1" t="s">
        <v>70</v>
      </c>
      <c r="E30" s="1" t="s">
        <v>75</v>
      </c>
      <c r="F30" s="1" t="s">
        <v>52</v>
      </c>
      <c r="G30" s="18"/>
    </row>
    <row r="31" spans="1:7" ht="14.4">
      <c r="A31" s="17" t="s">
        <v>112</v>
      </c>
      <c r="B31" s="23">
        <v>46120</v>
      </c>
      <c r="C31" s="1" t="s">
        <v>49</v>
      </c>
      <c r="D31" s="1" t="s">
        <v>77</v>
      </c>
      <c r="E31" s="1" t="s">
        <v>51</v>
      </c>
      <c r="F31" s="1" t="s">
        <v>52</v>
      </c>
      <c r="G31" s="18"/>
    </row>
    <row r="32" spans="1:7" ht="14.4">
      <c r="A32" s="17" t="s">
        <v>113</v>
      </c>
      <c r="B32" s="23">
        <v>46120</v>
      </c>
      <c r="C32" s="1" t="s">
        <v>114</v>
      </c>
      <c r="D32" s="1" t="s">
        <v>58</v>
      </c>
      <c r="E32" s="1" t="s">
        <v>51</v>
      </c>
      <c r="F32" s="1" t="s">
        <v>52</v>
      </c>
      <c r="G32" s="18"/>
    </row>
    <row r="33" spans="1:7" ht="14.4">
      <c r="A33" s="17" t="s">
        <v>115</v>
      </c>
      <c r="B33" s="23">
        <v>46120</v>
      </c>
      <c r="C33" s="1" t="s">
        <v>54</v>
      </c>
      <c r="D33" s="1" t="s">
        <v>77</v>
      </c>
      <c r="E33" s="1" t="s">
        <v>75</v>
      </c>
      <c r="F33" s="1" t="s">
        <v>52</v>
      </c>
      <c r="G33" s="18"/>
    </row>
    <row r="34" spans="1:7" ht="14.4">
      <c r="A34" s="17" t="s">
        <v>116</v>
      </c>
      <c r="B34" s="23">
        <v>46120</v>
      </c>
      <c r="C34" s="1" t="s">
        <v>117</v>
      </c>
      <c r="D34" s="1" t="s">
        <v>50</v>
      </c>
      <c r="E34" s="1" t="s">
        <v>51</v>
      </c>
      <c r="F34" s="1" t="s">
        <v>52</v>
      </c>
      <c r="G34" s="18"/>
    </row>
    <row r="35" spans="1:7" ht="14.4">
      <c r="A35" s="17" t="s">
        <v>118</v>
      </c>
      <c r="B35" s="23">
        <v>46120</v>
      </c>
      <c r="C35" s="1" t="s">
        <v>79</v>
      </c>
      <c r="D35" s="1" t="s">
        <v>50</v>
      </c>
      <c r="E35" s="1" t="s">
        <v>51</v>
      </c>
      <c r="F35" s="1" t="s">
        <v>52</v>
      </c>
      <c r="G35" s="18"/>
    </row>
    <row r="36" spans="1:7" ht="14.4">
      <c r="A36" s="17" t="s">
        <v>119</v>
      </c>
      <c r="B36" s="23">
        <v>46120</v>
      </c>
      <c r="C36" s="1" t="s">
        <v>117</v>
      </c>
      <c r="D36" s="1" t="s">
        <v>65</v>
      </c>
      <c r="E36" s="1" t="s">
        <v>75</v>
      </c>
      <c r="F36" s="1" t="s">
        <v>52</v>
      </c>
      <c r="G36" s="18"/>
    </row>
    <row r="37" spans="1:7" ht="14.4">
      <c r="A37" s="17" t="s">
        <v>120</v>
      </c>
      <c r="B37" s="23">
        <v>46120</v>
      </c>
      <c r="C37" s="1" t="s">
        <v>99</v>
      </c>
      <c r="D37" s="1" t="s">
        <v>65</v>
      </c>
      <c r="E37" s="1" t="s">
        <v>51</v>
      </c>
      <c r="F37" s="1" t="s">
        <v>71</v>
      </c>
      <c r="G37" s="18" t="s">
        <v>72</v>
      </c>
    </row>
    <row r="38" spans="1:7" ht="14.4">
      <c r="A38" s="17" t="s">
        <v>121</v>
      </c>
      <c r="B38" s="23">
        <v>46121</v>
      </c>
      <c r="C38" s="1" t="s">
        <v>54</v>
      </c>
      <c r="D38" s="1" t="s">
        <v>58</v>
      </c>
      <c r="E38" s="1" t="s">
        <v>51</v>
      </c>
      <c r="F38" s="1" t="s">
        <v>52</v>
      </c>
      <c r="G38" s="18"/>
    </row>
    <row r="39" spans="1:7" ht="14.4">
      <c r="A39" s="17" t="s">
        <v>122</v>
      </c>
      <c r="B39" s="23">
        <v>46121</v>
      </c>
      <c r="C39" s="1" t="s">
        <v>103</v>
      </c>
      <c r="D39" s="1" t="s">
        <v>58</v>
      </c>
      <c r="E39" s="1" t="s">
        <v>51</v>
      </c>
      <c r="F39" s="1" t="s">
        <v>52</v>
      </c>
      <c r="G39" s="18"/>
    </row>
    <row r="40" spans="1:7" ht="14.4">
      <c r="A40" s="17" t="s">
        <v>123</v>
      </c>
      <c r="B40" s="23">
        <v>46121</v>
      </c>
      <c r="C40" s="1" t="s">
        <v>107</v>
      </c>
      <c r="D40" s="1" t="s">
        <v>60</v>
      </c>
      <c r="E40" s="1" t="s">
        <v>55</v>
      </c>
      <c r="F40" s="1" t="s">
        <v>52</v>
      </c>
      <c r="G40" s="18"/>
    </row>
    <row r="41" spans="1:7" ht="14.4">
      <c r="A41" s="17" t="s">
        <v>124</v>
      </c>
      <c r="B41" s="23">
        <v>46121</v>
      </c>
      <c r="C41" s="1" t="s">
        <v>103</v>
      </c>
      <c r="D41" s="1" t="s">
        <v>60</v>
      </c>
      <c r="E41" s="1" t="s">
        <v>51</v>
      </c>
      <c r="F41" s="1" t="s">
        <v>52</v>
      </c>
      <c r="G41" s="18"/>
    </row>
    <row r="42" spans="1:7" ht="14.4">
      <c r="A42" s="17" t="s">
        <v>125</v>
      </c>
      <c r="B42" s="23">
        <v>46121</v>
      </c>
      <c r="C42" s="1" t="s">
        <v>74</v>
      </c>
      <c r="D42" s="1" t="s">
        <v>60</v>
      </c>
      <c r="E42" s="1" t="s">
        <v>55</v>
      </c>
      <c r="F42" s="1" t="s">
        <v>52</v>
      </c>
      <c r="G42" s="18"/>
    </row>
    <row r="43" spans="1:7" ht="14.4">
      <c r="A43" s="17" t="s">
        <v>126</v>
      </c>
      <c r="B43" s="23">
        <v>46121</v>
      </c>
      <c r="C43" s="1" t="s">
        <v>109</v>
      </c>
      <c r="D43" s="1" t="s">
        <v>70</v>
      </c>
      <c r="E43" s="1" t="s">
        <v>75</v>
      </c>
      <c r="F43" s="1" t="s">
        <v>52</v>
      </c>
      <c r="G43" s="18"/>
    </row>
    <row r="44" spans="1:7" ht="14.4">
      <c r="A44" s="17" t="s">
        <v>127</v>
      </c>
      <c r="B44" s="23">
        <v>46121</v>
      </c>
      <c r="C44" s="1" t="s">
        <v>128</v>
      </c>
      <c r="D44" s="1" t="s">
        <v>60</v>
      </c>
      <c r="E44" s="1" t="s">
        <v>75</v>
      </c>
      <c r="F44" s="1" t="s">
        <v>101</v>
      </c>
      <c r="G44" s="18" t="s">
        <v>72</v>
      </c>
    </row>
    <row r="45" spans="1:7" ht="14.4">
      <c r="A45" s="17" t="s">
        <v>129</v>
      </c>
      <c r="B45" s="23">
        <v>46121</v>
      </c>
      <c r="C45" s="1" t="s">
        <v>130</v>
      </c>
      <c r="D45" s="1" t="s">
        <v>65</v>
      </c>
      <c r="E45" s="1" t="s">
        <v>51</v>
      </c>
      <c r="F45" s="1" t="s">
        <v>101</v>
      </c>
      <c r="G45" s="18" t="s">
        <v>72</v>
      </c>
    </row>
    <row r="46" spans="1:7" ht="14.4">
      <c r="A46" s="17" t="s">
        <v>131</v>
      </c>
      <c r="B46" s="23">
        <v>46122</v>
      </c>
      <c r="C46" s="1" t="s">
        <v>85</v>
      </c>
      <c r="D46" s="1" t="s">
        <v>50</v>
      </c>
      <c r="E46" s="1" t="s">
        <v>51</v>
      </c>
      <c r="F46" s="1" t="s">
        <v>52</v>
      </c>
      <c r="G46" s="18"/>
    </row>
    <row r="47" spans="1:7" ht="14.4">
      <c r="A47" s="17" t="s">
        <v>132</v>
      </c>
      <c r="B47" s="23">
        <v>46122</v>
      </c>
      <c r="C47" s="1" t="s">
        <v>93</v>
      </c>
      <c r="D47" s="1" t="s">
        <v>58</v>
      </c>
      <c r="E47" s="1" t="s">
        <v>51</v>
      </c>
      <c r="F47" s="1" t="s">
        <v>52</v>
      </c>
      <c r="G47" s="18"/>
    </row>
    <row r="48" spans="1:7" ht="14.4">
      <c r="A48" s="17" t="s">
        <v>133</v>
      </c>
      <c r="B48" s="23">
        <v>46122</v>
      </c>
      <c r="C48" s="1" t="s">
        <v>134</v>
      </c>
      <c r="D48" s="1" t="s">
        <v>65</v>
      </c>
      <c r="E48" s="1" t="s">
        <v>55</v>
      </c>
      <c r="F48" s="1" t="s">
        <v>52</v>
      </c>
      <c r="G48" s="18"/>
    </row>
    <row r="49" spans="1:7" ht="14.4">
      <c r="A49" s="17" t="s">
        <v>135</v>
      </c>
      <c r="B49" s="23">
        <v>46122</v>
      </c>
      <c r="C49" s="1" t="s">
        <v>64</v>
      </c>
      <c r="D49" s="1" t="s">
        <v>58</v>
      </c>
      <c r="E49" s="1" t="s">
        <v>51</v>
      </c>
      <c r="F49" s="1" t="s">
        <v>101</v>
      </c>
      <c r="G49" s="18" t="s">
        <v>72</v>
      </c>
    </row>
    <row r="50" spans="1:7" ht="14.4">
      <c r="A50" s="17" t="s">
        <v>136</v>
      </c>
      <c r="B50" s="23">
        <v>46123</v>
      </c>
      <c r="C50" s="1" t="s">
        <v>67</v>
      </c>
      <c r="D50" s="1" t="s">
        <v>50</v>
      </c>
      <c r="E50" s="1" t="s">
        <v>55</v>
      </c>
      <c r="F50" s="1" t="s">
        <v>52</v>
      </c>
      <c r="G50" s="18"/>
    </row>
    <row r="51" spans="1:7" ht="14.4">
      <c r="A51" s="17" t="s">
        <v>137</v>
      </c>
      <c r="B51" s="23">
        <v>46123</v>
      </c>
      <c r="C51" s="1" t="s">
        <v>138</v>
      </c>
      <c r="D51" s="1" t="s">
        <v>77</v>
      </c>
      <c r="E51" s="1" t="s">
        <v>55</v>
      </c>
      <c r="F51" s="1" t="s">
        <v>101</v>
      </c>
      <c r="G51" s="18" t="s">
        <v>72</v>
      </c>
    </row>
    <row r="52" spans="1:7" ht="14.4">
      <c r="A52" s="17" t="s">
        <v>139</v>
      </c>
      <c r="B52" s="23">
        <v>46123</v>
      </c>
      <c r="C52" s="1" t="s">
        <v>128</v>
      </c>
      <c r="D52" s="1" t="s">
        <v>65</v>
      </c>
      <c r="E52" s="1" t="s">
        <v>51</v>
      </c>
      <c r="F52" s="1" t="s">
        <v>71</v>
      </c>
      <c r="G52" s="18" t="s">
        <v>72</v>
      </c>
    </row>
    <row r="53" spans="1:7" ht="14.4">
      <c r="A53" s="17" t="s">
        <v>140</v>
      </c>
      <c r="B53" s="23">
        <v>46124</v>
      </c>
      <c r="C53" s="1" t="s">
        <v>128</v>
      </c>
      <c r="D53" s="1" t="s">
        <v>70</v>
      </c>
      <c r="E53" s="1" t="s">
        <v>51</v>
      </c>
      <c r="F53" s="1" t="s">
        <v>71</v>
      </c>
      <c r="G53" s="18" t="s">
        <v>72</v>
      </c>
    </row>
    <row r="54" spans="1:7" ht="14.4">
      <c r="A54" s="17" t="s">
        <v>141</v>
      </c>
      <c r="B54" s="23">
        <v>46124</v>
      </c>
      <c r="C54" s="1" t="s">
        <v>88</v>
      </c>
      <c r="D54" s="1" t="s">
        <v>65</v>
      </c>
      <c r="E54" s="1" t="s">
        <v>51</v>
      </c>
      <c r="F54" s="1" t="s">
        <v>101</v>
      </c>
      <c r="G54" s="18" t="s">
        <v>72</v>
      </c>
    </row>
    <row r="55" spans="1:7" ht="14.4">
      <c r="A55" s="17" t="s">
        <v>142</v>
      </c>
      <c r="B55" s="23">
        <v>46125</v>
      </c>
      <c r="C55" s="1" t="s">
        <v>138</v>
      </c>
      <c r="D55" s="1" t="s">
        <v>70</v>
      </c>
      <c r="E55" s="1" t="s">
        <v>51</v>
      </c>
      <c r="F55" s="1" t="s">
        <v>52</v>
      </c>
      <c r="G55" s="18"/>
    </row>
    <row r="56" spans="1:7" ht="14.4">
      <c r="A56" s="17" t="s">
        <v>143</v>
      </c>
      <c r="B56" s="23">
        <v>46125</v>
      </c>
      <c r="C56" s="1" t="s">
        <v>83</v>
      </c>
      <c r="D56" s="1" t="s">
        <v>65</v>
      </c>
      <c r="E56" s="1" t="s">
        <v>51</v>
      </c>
      <c r="F56" s="1" t="s">
        <v>52</v>
      </c>
      <c r="G56" s="18"/>
    </row>
    <row r="57" spans="1:7" ht="14.4">
      <c r="A57" s="17" t="s">
        <v>144</v>
      </c>
      <c r="B57" s="23">
        <v>46125</v>
      </c>
      <c r="C57" s="1" t="s">
        <v>83</v>
      </c>
      <c r="D57" s="1" t="s">
        <v>77</v>
      </c>
      <c r="E57" s="1" t="s">
        <v>51</v>
      </c>
      <c r="F57" s="1" t="s">
        <v>52</v>
      </c>
      <c r="G57" s="18"/>
    </row>
    <row r="58" spans="1:7" ht="14.4">
      <c r="A58" s="17" t="s">
        <v>145</v>
      </c>
      <c r="B58" s="23">
        <v>46125</v>
      </c>
      <c r="C58" s="1" t="s">
        <v>69</v>
      </c>
      <c r="D58" s="1" t="s">
        <v>65</v>
      </c>
      <c r="E58" s="1" t="s">
        <v>55</v>
      </c>
      <c r="F58" s="1" t="s">
        <v>52</v>
      </c>
      <c r="G58" s="18"/>
    </row>
    <row r="59" spans="1:7" ht="14.4">
      <c r="A59" s="17" t="s">
        <v>146</v>
      </c>
      <c r="B59" s="23">
        <v>46125</v>
      </c>
      <c r="C59" s="1" t="s">
        <v>147</v>
      </c>
      <c r="D59" s="1" t="s">
        <v>60</v>
      </c>
      <c r="E59" s="1" t="s">
        <v>51</v>
      </c>
      <c r="F59" s="1" t="s">
        <v>52</v>
      </c>
      <c r="G59" s="18"/>
    </row>
    <row r="60" spans="1:7" ht="14.4">
      <c r="A60" s="17" t="s">
        <v>148</v>
      </c>
      <c r="B60" s="23">
        <v>46125</v>
      </c>
      <c r="C60" s="1" t="s">
        <v>111</v>
      </c>
      <c r="D60" s="1" t="s">
        <v>77</v>
      </c>
      <c r="E60" s="1" t="s">
        <v>51</v>
      </c>
      <c r="F60" s="1" t="s">
        <v>71</v>
      </c>
      <c r="G60" s="18" t="s">
        <v>72</v>
      </c>
    </row>
    <row r="61" spans="1:7" ht="14.4">
      <c r="A61" s="17" t="s">
        <v>149</v>
      </c>
      <c r="B61" s="23">
        <v>46126</v>
      </c>
      <c r="C61" s="1" t="s">
        <v>69</v>
      </c>
      <c r="D61" s="1" t="s">
        <v>58</v>
      </c>
      <c r="E61" s="1" t="s">
        <v>55</v>
      </c>
      <c r="F61" s="1" t="s">
        <v>52</v>
      </c>
      <c r="G61" s="18"/>
    </row>
    <row r="62" spans="1:7" ht="14.4">
      <c r="A62" s="17" t="s">
        <v>150</v>
      </c>
      <c r="B62" s="23">
        <v>46126</v>
      </c>
      <c r="C62" s="1" t="s">
        <v>93</v>
      </c>
      <c r="D62" s="1" t="s">
        <v>60</v>
      </c>
      <c r="E62" s="1" t="s">
        <v>51</v>
      </c>
      <c r="F62" s="1" t="s">
        <v>52</v>
      </c>
      <c r="G62" s="18"/>
    </row>
    <row r="63" spans="1:7" ht="14.4">
      <c r="A63" s="17" t="s">
        <v>151</v>
      </c>
      <c r="B63" s="23">
        <v>46126</v>
      </c>
      <c r="C63" s="1" t="s">
        <v>103</v>
      </c>
      <c r="D63" s="1" t="s">
        <v>50</v>
      </c>
      <c r="E63" s="1" t="s">
        <v>51</v>
      </c>
      <c r="F63" s="1" t="s">
        <v>52</v>
      </c>
      <c r="G63" s="18"/>
    </row>
    <row r="64" spans="1:7" ht="14.4">
      <c r="A64" s="17" t="s">
        <v>152</v>
      </c>
      <c r="B64" s="23">
        <v>46126</v>
      </c>
      <c r="C64" s="1" t="s">
        <v>109</v>
      </c>
      <c r="D64" s="1" t="s">
        <v>60</v>
      </c>
      <c r="E64" s="1" t="s">
        <v>51</v>
      </c>
      <c r="F64" s="1" t="s">
        <v>52</v>
      </c>
      <c r="G64" s="18"/>
    </row>
    <row r="65" spans="1:7" ht="14.4">
      <c r="A65" s="17" t="s">
        <v>153</v>
      </c>
      <c r="B65" s="23">
        <v>46126</v>
      </c>
      <c r="C65" s="1" t="s">
        <v>130</v>
      </c>
      <c r="D65" s="1" t="s">
        <v>58</v>
      </c>
      <c r="E65" s="1" t="s">
        <v>75</v>
      </c>
      <c r="F65" s="1" t="s">
        <v>52</v>
      </c>
      <c r="G65" s="18"/>
    </row>
    <row r="66" spans="1:7" ht="14.4">
      <c r="A66" s="17" t="s">
        <v>154</v>
      </c>
      <c r="B66" s="23">
        <v>46126</v>
      </c>
      <c r="C66" s="1" t="s">
        <v>155</v>
      </c>
      <c r="D66" s="1" t="s">
        <v>77</v>
      </c>
      <c r="E66" s="1" t="s">
        <v>75</v>
      </c>
      <c r="F66" s="1" t="s">
        <v>101</v>
      </c>
      <c r="G66" s="18" t="s">
        <v>72</v>
      </c>
    </row>
    <row r="67" spans="1:7" ht="14.4">
      <c r="A67" s="17" t="s">
        <v>156</v>
      </c>
      <c r="B67" s="23">
        <v>46127</v>
      </c>
      <c r="C67" s="1" t="s">
        <v>138</v>
      </c>
      <c r="D67" s="1" t="s">
        <v>50</v>
      </c>
      <c r="E67" s="1" t="s">
        <v>55</v>
      </c>
      <c r="F67" s="1" t="s">
        <v>52</v>
      </c>
      <c r="G67" s="18"/>
    </row>
    <row r="68" spans="1:7" ht="14.4">
      <c r="A68" s="17" t="s">
        <v>157</v>
      </c>
      <c r="B68" s="23">
        <v>46127</v>
      </c>
      <c r="C68" s="1" t="s">
        <v>158</v>
      </c>
      <c r="D68" s="1" t="s">
        <v>70</v>
      </c>
      <c r="E68" s="1" t="s">
        <v>51</v>
      </c>
      <c r="F68" s="1" t="s">
        <v>52</v>
      </c>
      <c r="G68" s="18"/>
    </row>
    <row r="69" spans="1:7" ht="14.4">
      <c r="A69" s="17" t="s">
        <v>159</v>
      </c>
      <c r="B69" s="23">
        <v>46127</v>
      </c>
      <c r="C69" s="1" t="s">
        <v>64</v>
      </c>
      <c r="D69" s="1" t="s">
        <v>65</v>
      </c>
      <c r="E69" s="1" t="s">
        <v>51</v>
      </c>
      <c r="F69" s="1" t="s">
        <v>52</v>
      </c>
      <c r="G69" s="18"/>
    </row>
    <row r="70" spans="1:7" ht="14.4">
      <c r="A70" s="17" t="s">
        <v>160</v>
      </c>
      <c r="B70" s="23">
        <v>46128</v>
      </c>
      <c r="C70" s="1" t="s">
        <v>117</v>
      </c>
      <c r="D70" s="1" t="s">
        <v>70</v>
      </c>
      <c r="E70" s="1" t="s">
        <v>51</v>
      </c>
      <c r="F70" s="1" t="s">
        <v>52</v>
      </c>
      <c r="G70" s="18"/>
    </row>
    <row r="71" spans="1:7" ht="14.4">
      <c r="A71" s="17" t="s">
        <v>161</v>
      </c>
      <c r="B71" s="23">
        <v>46128</v>
      </c>
      <c r="C71" s="1" t="s">
        <v>93</v>
      </c>
      <c r="D71" s="1" t="s">
        <v>50</v>
      </c>
      <c r="E71" s="1" t="s">
        <v>75</v>
      </c>
      <c r="F71" s="1" t="s">
        <v>52</v>
      </c>
      <c r="G71" s="18"/>
    </row>
    <row r="72" spans="1:7" ht="14.4">
      <c r="A72" s="17" t="s">
        <v>162</v>
      </c>
      <c r="B72" s="23">
        <v>46129</v>
      </c>
      <c r="C72" s="1" t="s">
        <v>128</v>
      </c>
      <c r="D72" s="1" t="s">
        <v>60</v>
      </c>
      <c r="E72" s="1" t="s">
        <v>51</v>
      </c>
      <c r="F72" s="1" t="s">
        <v>52</v>
      </c>
      <c r="G72" s="18"/>
    </row>
    <row r="73" spans="1:7" ht="14.4">
      <c r="A73" s="17" t="s">
        <v>163</v>
      </c>
      <c r="B73" s="23">
        <v>46129</v>
      </c>
      <c r="C73" s="1" t="s">
        <v>81</v>
      </c>
      <c r="D73" s="1" t="s">
        <v>60</v>
      </c>
      <c r="E73" s="1" t="s">
        <v>51</v>
      </c>
      <c r="F73" s="1" t="s">
        <v>52</v>
      </c>
      <c r="G73" s="18"/>
    </row>
    <row r="74" spans="1:7" ht="14.4">
      <c r="A74" s="17" t="s">
        <v>164</v>
      </c>
      <c r="B74" s="23">
        <v>46129</v>
      </c>
      <c r="C74" s="1" t="s">
        <v>165</v>
      </c>
      <c r="D74" s="1" t="s">
        <v>60</v>
      </c>
      <c r="E74" s="1" t="s">
        <v>51</v>
      </c>
      <c r="F74" s="1" t="s">
        <v>52</v>
      </c>
      <c r="G74" s="18"/>
    </row>
    <row r="75" spans="1:7" ht="14.4">
      <c r="A75" s="17" t="s">
        <v>166</v>
      </c>
      <c r="B75" s="23">
        <v>46129</v>
      </c>
      <c r="C75" s="1" t="s">
        <v>128</v>
      </c>
      <c r="D75" s="1" t="s">
        <v>50</v>
      </c>
      <c r="E75" s="1" t="s">
        <v>75</v>
      </c>
      <c r="F75" s="1" t="s">
        <v>52</v>
      </c>
      <c r="G75" s="18"/>
    </row>
    <row r="76" spans="1:7" ht="14.4">
      <c r="A76" s="17" t="s">
        <v>167</v>
      </c>
      <c r="B76" s="23">
        <v>46129</v>
      </c>
      <c r="C76" s="1" t="s">
        <v>93</v>
      </c>
      <c r="D76" s="1" t="s">
        <v>65</v>
      </c>
      <c r="E76" s="1" t="s">
        <v>75</v>
      </c>
      <c r="F76" s="1" t="s">
        <v>52</v>
      </c>
      <c r="G76" s="18"/>
    </row>
    <row r="77" spans="1:7" ht="14.4">
      <c r="A77" s="17" t="s">
        <v>168</v>
      </c>
      <c r="B77" s="23">
        <v>46129</v>
      </c>
      <c r="C77" s="1" t="s">
        <v>74</v>
      </c>
      <c r="D77" s="1" t="s">
        <v>70</v>
      </c>
      <c r="E77" s="1" t="s">
        <v>51</v>
      </c>
      <c r="F77" s="1" t="s">
        <v>52</v>
      </c>
      <c r="G77" s="18"/>
    </row>
    <row r="78" spans="1:7" ht="14.4">
      <c r="A78" s="17" t="s">
        <v>169</v>
      </c>
      <c r="B78" s="23">
        <v>46129</v>
      </c>
      <c r="C78" s="1" t="s">
        <v>107</v>
      </c>
      <c r="D78" s="1" t="s">
        <v>65</v>
      </c>
      <c r="E78" s="1" t="s">
        <v>51</v>
      </c>
      <c r="F78" s="1" t="s">
        <v>101</v>
      </c>
      <c r="G78" s="18" t="s">
        <v>72</v>
      </c>
    </row>
    <row r="79" spans="1:7" ht="14.4">
      <c r="A79" s="17" t="s">
        <v>170</v>
      </c>
      <c r="B79" s="23">
        <v>46130</v>
      </c>
      <c r="C79" s="1" t="s">
        <v>62</v>
      </c>
      <c r="D79" s="1" t="s">
        <v>70</v>
      </c>
      <c r="E79" s="1" t="s">
        <v>51</v>
      </c>
      <c r="F79" s="1" t="s">
        <v>52</v>
      </c>
      <c r="G79" s="18"/>
    </row>
    <row r="80" spans="1:7" ht="14.4">
      <c r="A80" s="17" t="s">
        <v>171</v>
      </c>
      <c r="B80" s="23">
        <v>46130</v>
      </c>
      <c r="C80" s="1" t="s">
        <v>103</v>
      </c>
      <c r="D80" s="1" t="s">
        <v>58</v>
      </c>
      <c r="E80" s="1" t="s">
        <v>75</v>
      </c>
      <c r="F80" s="1" t="s">
        <v>52</v>
      </c>
      <c r="G80" s="18"/>
    </row>
    <row r="81" spans="1:7" ht="14.4">
      <c r="A81" s="17" t="s">
        <v>172</v>
      </c>
      <c r="B81" s="23">
        <v>46130</v>
      </c>
      <c r="C81" s="1" t="s">
        <v>158</v>
      </c>
      <c r="D81" s="1" t="s">
        <v>50</v>
      </c>
      <c r="E81" s="1" t="s">
        <v>55</v>
      </c>
      <c r="F81" s="1" t="s">
        <v>52</v>
      </c>
      <c r="G81" s="18"/>
    </row>
    <row r="82" spans="1:7" ht="14.4">
      <c r="A82" s="17" t="s">
        <v>173</v>
      </c>
      <c r="B82" s="23">
        <v>46130</v>
      </c>
      <c r="C82" s="1" t="s">
        <v>49</v>
      </c>
      <c r="D82" s="1" t="s">
        <v>50</v>
      </c>
      <c r="E82" s="1" t="s">
        <v>51</v>
      </c>
      <c r="F82" s="1" t="s">
        <v>52</v>
      </c>
      <c r="G82" s="18"/>
    </row>
    <row r="83" spans="1:7" ht="14.4">
      <c r="A83" s="17" t="s">
        <v>174</v>
      </c>
      <c r="B83" s="23">
        <v>46132</v>
      </c>
      <c r="C83" s="1" t="s">
        <v>83</v>
      </c>
      <c r="D83" s="1" t="s">
        <v>60</v>
      </c>
      <c r="E83" s="1" t="s">
        <v>51</v>
      </c>
      <c r="F83" s="1" t="s">
        <v>52</v>
      </c>
      <c r="G83" s="18"/>
    </row>
    <row r="84" spans="1:7" ht="14.4">
      <c r="A84" s="17" t="s">
        <v>175</v>
      </c>
      <c r="B84" s="23">
        <v>46132</v>
      </c>
      <c r="C84" s="1" t="s">
        <v>114</v>
      </c>
      <c r="D84" s="1" t="s">
        <v>50</v>
      </c>
      <c r="E84" s="1" t="s">
        <v>51</v>
      </c>
      <c r="F84" s="1" t="s">
        <v>52</v>
      </c>
      <c r="G84" s="18"/>
    </row>
    <row r="85" spans="1:7" ht="14.4">
      <c r="A85" s="17" t="s">
        <v>176</v>
      </c>
      <c r="B85" s="23">
        <v>46132</v>
      </c>
      <c r="C85" s="1" t="s">
        <v>155</v>
      </c>
      <c r="D85" s="1" t="s">
        <v>77</v>
      </c>
      <c r="E85" s="1" t="s">
        <v>51</v>
      </c>
      <c r="F85" s="1" t="s">
        <v>52</v>
      </c>
      <c r="G85" s="18"/>
    </row>
    <row r="86" spans="1:7" ht="14.4">
      <c r="A86" s="17" t="s">
        <v>177</v>
      </c>
      <c r="B86" s="23">
        <v>46132</v>
      </c>
      <c r="C86" s="1" t="s">
        <v>99</v>
      </c>
      <c r="D86" s="1" t="s">
        <v>58</v>
      </c>
      <c r="E86" s="1" t="s">
        <v>51</v>
      </c>
      <c r="F86" s="1" t="s">
        <v>52</v>
      </c>
      <c r="G86" s="18"/>
    </row>
    <row r="87" spans="1:7" ht="14.4">
      <c r="A87" s="17" t="s">
        <v>178</v>
      </c>
      <c r="B87" s="23">
        <v>46132</v>
      </c>
      <c r="C87" s="1" t="s">
        <v>62</v>
      </c>
      <c r="D87" s="1" t="s">
        <v>77</v>
      </c>
      <c r="E87" s="1" t="s">
        <v>51</v>
      </c>
      <c r="F87" s="1" t="s">
        <v>52</v>
      </c>
      <c r="G87" s="18"/>
    </row>
    <row r="88" spans="1:7" ht="14.4">
      <c r="A88" s="17" t="s">
        <v>179</v>
      </c>
      <c r="B88" s="23">
        <v>46132</v>
      </c>
      <c r="C88" s="1" t="s">
        <v>69</v>
      </c>
      <c r="D88" s="1" t="s">
        <v>70</v>
      </c>
      <c r="E88" s="1" t="s">
        <v>51</v>
      </c>
      <c r="F88" s="1" t="s">
        <v>52</v>
      </c>
      <c r="G88" s="18"/>
    </row>
    <row r="89" spans="1:7" ht="14.4">
      <c r="A89" s="17" t="s">
        <v>180</v>
      </c>
      <c r="B89" s="23">
        <v>46133</v>
      </c>
      <c r="C89" s="1" t="s">
        <v>158</v>
      </c>
      <c r="D89" s="1" t="s">
        <v>70</v>
      </c>
      <c r="E89" s="1" t="s">
        <v>55</v>
      </c>
      <c r="F89" s="1" t="s">
        <v>52</v>
      </c>
      <c r="G89" s="18"/>
    </row>
    <row r="90" spans="1:7" ht="14.4">
      <c r="A90" s="17" t="s">
        <v>181</v>
      </c>
      <c r="B90" s="23">
        <v>46133</v>
      </c>
      <c r="C90" s="1" t="s">
        <v>83</v>
      </c>
      <c r="D90" s="1" t="s">
        <v>70</v>
      </c>
      <c r="E90" s="1" t="s">
        <v>55</v>
      </c>
      <c r="F90" s="1" t="s">
        <v>52</v>
      </c>
      <c r="G90" s="18"/>
    </row>
    <row r="91" spans="1:7" ht="14.4">
      <c r="A91" s="17" t="s">
        <v>182</v>
      </c>
      <c r="B91" s="23">
        <v>46133</v>
      </c>
      <c r="C91" s="1" t="s">
        <v>107</v>
      </c>
      <c r="D91" s="1" t="s">
        <v>58</v>
      </c>
      <c r="E91" s="1" t="s">
        <v>51</v>
      </c>
      <c r="F91" s="1" t="s">
        <v>52</v>
      </c>
      <c r="G91" s="18"/>
    </row>
    <row r="92" spans="1:7" ht="14.4">
      <c r="A92" s="17" t="s">
        <v>183</v>
      </c>
      <c r="B92" s="23">
        <v>46134</v>
      </c>
      <c r="C92" s="1" t="s">
        <v>85</v>
      </c>
      <c r="D92" s="1" t="s">
        <v>50</v>
      </c>
      <c r="E92" s="1" t="s">
        <v>55</v>
      </c>
      <c r="F92" s="1" t="s">
        <v>52</v>
      </c>
      <c r="G92" s="18"/>
    </row>
    <row r="93" spans="1:7" ht="14.4">
      <c r="A93" s="17" t="s">
        <v>184</v>
      </c>
      <c r="B93" s="23">
        <v>46134</v>
      </c>
      <c r="C93" s="1" t="s">
        <v>185</v>
      </c>
      <c r="D93" s="1" t="s">
        <v>50</v>
      </c>
      <c r="E93" s="1" t="s">
        <v>51</v>
      </c>
      <c r="F93" s="1" t="s">
        <v>52</v>
      </c>
      <c r="G93" s="18"/>
    </row>
    <row r="94" spans="1:7" ht="14.4">
      <c r="A94" s="17" t="s">
        <v>186</v>
      </c>
      <c r="B94" s="23">
        <v>46134</v>
      </c>
      <c r="C94" s="1" t="s">
        <v>88</v>
      </c>
      <c r="D94" s="1" t="s">
        <v>70</v>
      </c>
      <c r="E94" s="1" t="s">
        <v>55</v>
      </c>
      <c r="F94" s="1" t="s">
        <v>52</v>
      </c>
      <c r="G94" s="18"/>
    </row>
    <row r="95" spans="1:7" ht="14.4">
      <c r="A95" s="17" t="s">
        <v>187</v>
      </c>
      <c r="B95" s="23">
        <v>46134</v>
      </c>
      <c r="C95" s="1" t="s">
        <v>57</v>
      </c>
      <c r="D95" s="1" t="s">
        <v>58</v>
      </c>
      <c r="E95" s="1" t="s">
        <v>51</v>
      </c>
      <c r="F95" s="1" t="s">
        <v>52</v>
      </c>
      <c r="G95" s="18"/>
    </row>
    <row r="96" spans="1:7" ht="14.4">
      <c r="A96" s="17" t="s">
        <v>188</v>
      </c>
      <c r="B96" s="23">
        <v>46134</v>
      </c>
      <c r="C96" s="1" t="s">
        <v>189</v>
      </c>
      <c r="D96" s="1" t="s">
        <v>60</v>
      </c>
      <c r="E96" s="1" t="s">
        <v>55</v>
      </c>
      <c r="F96" s="1" t="s">
        <v>52</v>
      </c>
      <c r="G96" s="18"/>
    </row>
    <row r="97" spans="1:7" ht="14.4">
      <c r="A97" s="17" t="s">
        <v>190</v>
      </c>
      <c r="B97" s="23">
        <v>46134</v>
      </c>
      <c r="C97" s="1" t="s">
        <v>83</v>
      </c>
      <c r="D97" s="1" t="s">
        <v>58</v>
      </c>
      <c r="E97" s="1" t="s">
        <v>75</v>
      </c>
      <c r="F97" s="1" t="s">
        <v>52</v>
      </c>
      <c r="G97" s="18"/>
    </row>
    <row r="98" spans="1:7" ht="14.4">
      <c r="A98" s="17" t="s">
        <v>191</v>
      </c>
      <c r="B98" s="23">
        <v>46134</v>
      </c>
      <c r="C98" s="1" t="s">
        <v>134</v>
      </c>
      <c r="D98" s="1" t="s">
        <v>58</v>
      </c>
      <c r="E98" s="1" t="s">
        <v>51</v>
      </c>
      <c r="F98" s="1" t="s">
        <v>52</v>
      </c>
      <c r="G98" s="18"/>
    </row>
    <row r="99" spans="1:7" ht="14.4">
      <c r="A99" s="17" t="s">
        <v>192</v>
      </c>
      <c r="B99" s="23">
        <v>46134</v>
      </c>
      <c r="C99" s="1" t="s">
        <v>193</v>
      </c>
      <c r="D99" s="1" t="s">
        <v>65</v>
      </c>
      <c r="E99" s="1" t="s">
        <v>51</v>
      </c>
      <c r="F99" s="1" t="s">
        <v>101</v>
      </c>
      <c r="G99" s="18" t="s">
        <v>72</v>
      </c>
    </row>
    <row r="100" spans="1:7" ht="14.4">
      <c r="A100" s="17" t="s">
        <v>194</v>
      </c>
      <c r="B100" s="23">
        <v>46135</v>
      </c>
      <c r="C100" s="1" t="s">
        <v>195</v>
      </c>
      <c r="D100" s="1" t="s">
        <v>70</v>
      </c>
      <c r="E100" s="1" t="s">
        <v>55</v>
      </c>
      <c r="F100" s="1" t="s">
        <v>52</v>
      </c>
      <c r="G100" s="18"/>
    </row>
    <row r="101" spans="1:7" ht="14.4">
      <c r="A101" s="17" t="s">
        <v>196</v>
      </c>
      <c r="B101" s="23">
        <v>46135</v>
      </c>
      <c r="C101" s="1" t="s">
        <v>155</v>
      </c>
      <c r="D101" s="1" t="s">
        <v>65</v>
      </c>
      <c r="E101" s="1" t="s">
        <v>75</v>
      </c>
      <c r="F101" s="1" t="s">
        <v>52</v>
      </c>
      <c r="G101" s="18"/>
    </row>
    <row r="102" spans="1:7" ht="14.4">
      <c r="A102" s="17" t="s">
        <v>197</v>
      </c>
      <c r="B102" s="23">
        <v>46135</v>
      </c>
      <c r="C102" s="1" t="s">
        <v>189</v>
      </c>
      <c r="D102" s="1" t="s">
        <v>58</v>
      </c>
      <c r="E102" s="1" t="s">
        <v>55</v>
      </c>
      <c r="F102" s="1" t="s">
        <v>52</v>
      </c>
      <c r="G102" s="18"/>
    </row>
    <row r="103" spans="1:7" ht="14.4">
      <c r="A103" s="17" t="s">
        <v>198</v>
      </c>
      <c r="B103" s="23">
        <v>46135</v>
      </c>
      <c r="C103" s="1" t="s">
        <v>199</v>
      </c>
      <c r="D103" s="1" t="s">
        <v>58</v>
      </c>
      <c r="E103" s="1" t="s">
        <v>51</v>
      </c>
      <c r="F103" s="1" t="s">
        <v>52</v>
      </c>
      <c r="G103" s="18"/>
    </row>
    <row r="104" spans="1:7" ht="14.4">
      <c r="A104" s="17" t="s">
        <v>200</v>
      </c>
      <c r="B104" s="23">
        <v>46135</v>
      </c>
      <c r="C104" s="1" t="s">
        <v>193</v>
      </c>
      <c r="D104" s="1" t="s">
        <v>70</v>
      </c>
      <c r="E104" s="1" t="s">
        <v>55</v>
      </c>
      <c r="F104" s="1" t="s">
        <v>52</v>
      </c>
      <c r="G104" s="18"/>
    </row>
    <row r="105" spans="1:7" ht="14.4">
      <c r="A105" s="17" t="s">
        <v>201</v>
      </c>
      <c r="B105" s="23">
        <v>46135</v>
      </c>
      <c r="C105" s="1" t="s">
        <v>69</v>
      </c>
      <c r="D105" s="1" t="s">
        <v>70</v>
      </c>
      <c r="E105" s="1" t="s">
        <v>55</v>
      </c>
      <c r="F105" s="1" t="s">
        <v>52</v>
      </c>
      <c r="G105" s="18"/>
    </row>
    <row r="106" spans="1:7" ht="14.4">
      <c r="A106" s="17" t="s">
        <v>202</v>
      </c>
      <c r="B106" s="23">
        <v>46135</v>
      </c>
      <c r="C106" s="1" t="s">
        <v>203</v>
      </c>
      <c r="D106" s="1" t="s">
        <v>60</v>
      </c>
      <c r="E106" s="1" t="s">
        <v>55</v>
      </c>
      <c r="F106" s="1" t="s">
        <v>52</v>
      </c>
      <c r="G106" s="18"/>
    </row>
    <row r="107" spans="1:7" ht="14.4">
      <c r="A107" s="17" t="s">
        <v>204</v>
      </c>
      <c r="B107" s="23">
        <v>46135</v>
      </c>
      <c r="C107" s="1" t="s">
        <v>85</v>
      </c>
      <c r="D107" s="1" t="s">
        <v>50</v>
      </c>
      <c r="E107" s="1" t="s">
        <v>75</v>
      </c>
      <c r="F107" s="1" t="s">
        <v>101</v>
      </c>
      <c r="G107" s="18" t="s">
        <v>72</v>
      </c>
    </row>
    <row r="108" spans="1:7" ht="14.4">
      <c r="A108" s="17" t="s">
        <v>205</v>
      </c>
      <c r="B108" s="23">
        <v>46136</v>
      </c>
      <c r="C108" s="1" t="s">
        <v>57</v>
      </c>
      <c r="D108" s="1" t="s">
        <v>70</v>
      </c>
      <c r="E108" s="1" t="s">
        <v>75</v>
      </c>
      <c r="F108" s="1" t="s">
        <v>52</v>
      </c>
      <c r="G108" s="18"/>
    </row>
    <row r="109" spans="1:7" ht="14.4">
      <c r="A109" s="17" t="s">
        <v>206</v>
      </c>
      <c r="B109" s="23">
        <v>46136</v>
      </c>
      <c r="C109" s="1" t="s">
        <v>189</v>
      </c>
      <c r="D109" s="1" t="s">
        <v>65</v>
      </c>
      <c r="E109" s="1" t="s">
        <v>51</v>
      </c>
      <c r="F109" s="1" t="s">
        <v>52</v>
      </c>
      <c r="G109" s="18"/>
    </row>
    <row r="110" spans="1:7" ht="14.4">
      <c r="A110" s="17" t="s">
        <v>207</v>
      </c>
      <c r="B110" s="23">
        <v>46136</v>
      </c>
      <c r="C110" s="1" t="s">
        <v>114</v>
      </c>
      <c r="D110" s="1" t="s">
        <v>65</v>
      </c>
      <c r="E110" s="1" t="s">
        <v>51</v>
      </c>
      <c r="F110" s="1" t="s">
        <v>52</v>
      </c>
      <c r="G110" s="18"/>
    </row>
    <row r="111" spans="1:7" ht="14.4">
      <c r="A111" s="17" t="s">
        <v>208</v>
      </c>
      <c r="B111" s="23">
        <v>46136</v>
      </c>
      <c r="C111" s="1" t="s">
        <v>147</v>
      </c>
      <c r="D111" s="1" t="s">
        <v>65</v>
      </c>
      <c r="E111" s="1" t="s">
        <v>51</v>
      </c>
      <c r="F111" s="1" t="s">
        <v>52</v>
      </c>
      <c r="G111" s="18"/>
    </row>
    <row r="112" spans="1:7" ht="14.4">
      <c r="A112" s="17" t="s">
        <v>209</v>
      </c>
      <c r="B112" s="23">
        <v>46136</v>
      </c>
      <c r="C112" s="1" t="s">
        <v>64</v>
      </c>
      <c r="D112" s="1" t="s">
        <v>50</v>
      </c>
      <c r="E112" s="1" t="s">
        <v>51</v>
      </c>
      <c r="F112" s="1" t="s">
        <v>52</v>
      </c>
      <c r="G112" s="18"/>
    </row>
    <row r="113" spans="1:7" ht="14.4">
      <c r="A113" s="17" t="s">
        <v>210</v>
      </c>
      <c r="B113" s="23">
        <v>46136</v>
      </c>
      <c r="C113" s="1" t="s">
        <v>107</v>
      </c>
      <c r="D113" s="1" t="s">
        <v>70</v>
      </c>
      <c r="E113" s="1" t="s">
        <v>51</v>
      </c>
      <c r="F113" s="1" t="s">
        <v>52</v>
      </c>
      <c r="G113" s="18"/>
    </row>
    <row r="114" spans="1:7" ht="14.4">
      <c r="A114" s="17" t="s">
        <v>211</v>
      </c>
      <c r="B114" s="23">
        <v>46137</v>
      </c>
      <c r="C114" s="1" t="s">
        <v>109</v>
      </c>
      <c r="D114" s="1" t="s">
        <v>70</v>
      </c>
      <c r="E114" s="1" t="s">
        <v>51</v>
      </c>
      <c r="F114" s="1" t="s">
        <v>52</v>
      </c>
      <c r="G114" s="18"/>
    </row>
    <row r="115" spans="1:7" ht="14.4">
      <c r="A115" s="17" t="s">
        <v>212</v>
      </c>
      <c r="B115" s="23">
        <v>46137</v>
      </c>
      <c r="C115" s="1" t="s">
        <v>114</v>
      </c>
      <c r="D115" s="1" t="s">
        <v>58</v>
      </c>
      <c r="E115" s="1" t="s">
        <v>75</v>
      </c>
      <c r="F115" s="1" t="s">
        <v>101</v>
      </c>
      <c r="G115" s="18" t="s">
        <v>72</v>
      </c>
    </row>
    <row r="116" spans="1:7" ht="14.4">
      <c r="A116" s="17" t="s">
        <v>213</v>
      </c>
      <c r="B116" s="23">
        <v>46138</v>
      </c>
      <c r="C116" s="1" t="s">
        <v>93</v>
      </c>
      <c r="D116" s="1" t="s">
        <v>70</v>
      </c>
      <c r="E116" s="1" t="s">
        <v>51</v>
      </c>
      <c r="F116" s="1" t="s">
        <v>52</v>
      </c>
      <c r="G116" s="18"/>
    </row>
    <row r="117" spans="1:7" ht="14.4">
      <c r="A117" s="17" t="s">
        <v>214</v>
      </c>
      <c r="B117" s="23">
        <v>46138</v>
      </c>
      <c r="C117" s="1" t="s">
        <v>158</v>
      </c>
      <c r="D117" s="1" t="s">
        <v>77</v>
      </c>
      <c r="E117" s="1" t="s">
        <v>51</v>
      </c>
      <c r="F117" s="1" t="s">
        <v>52</v>
      </c>
      <c r="G117" s="18"/>
    </row>
    <row r="118" spans="1:7" ht="14.4">
      <c r="A118" s="17" t="s">
        <v>215</v>
      </c>
      <c r="B118" s="23">
        <v>46138</v>
      </c>
      <c r="C118" s="1" t="s">
        <v>64</v>
      </c>
      <c r="D118" s="1" t="s">
        <v>65</v>
      </c>
      <c r="E118" s="1" t="s">
        <v>51</v>
      </c>
      <c r="F118" s="1" t="s">
        <v>52</v>
      </c>
      <c r="G118" s="18"/>
    </row>
    <row r="119" spans="1:7" ht="14.4">
      <c r="A119" s="17" t="s">
        <v>216</v>
      </c>
      <c r="B119" s="23">
        <v>46138</v>
      </c>
      <c r="C119" s="1" t="s">
        <v>155</v>
      </c>
      <c r="D119" s="1" t="s">
        <v>70</v>
      </c>
      <c r="E119" s="1" t="s">
        <v>51</v>
      </c>
      <c r="F119" s="1" t="s">
        <v>71</v>
      </c>
      <c r="G119" s="18" t="s">
        <v>72</v>
      </c>
    </row>
    <row r="120" spans="1:7" ht="14.4">
      <c r="A120" s="17" t="s">
        <v>217</v>
      </c>
      <c r="B120" s="23">
        <v>46138</v>
      </c>
      <c r="C120" s="1" t="s">
        <v>195</v>
      </c>
      <c r="D120" s="1" t="s">
        <v>65</v>
      </c>
      <c r="E120" s="1" t="s">
        <v>51</v>
      </c>
      <c r="F120" s="1" t="s">
        <v>71</v>
      </c>
      <c r="G120" s="18" t="s">
        <v>72</v>
      </c>
    </row>
    <row r="121" spans="1:7" ht="14.4">
      <c r="A121" s="17" t="s">
        <v>218</v>
      </c>
      <c r="B121" s="23">
        <v>46139</v>
      </c>
      <c r="C121" s="1" t="s">
        <v>117</v>
      </c>
      <c r="D121" s="1" t="s">
        <v>65</v>
      </c>
      <c r="E121" s="1" t="s">
        <v>51</v>
      </c>
      <c r="F121" s="1" t="s">
        <v>52</v>
      </c>
      <c r="G121" s="18"/>
    </row>
    <row r="122" spans="1:7" ht="14.4">
      <c r="A122" s="17" t="s">
        <v>219</v>
      </c>
      <c r="B122" s="23">
        <v>46139</v>
      </c>
      <c r="C122" s="1" t="s">
        <v>138</v>
      </c>
      <c r="D122" s="1" t="s">
        <v>77</v>
      </c>
      <c r="E122" s="1" t="s">
        <v>51</v>
      </c>
      <c r="F122" s="1" t="s">
        <v>52</v>
      </c>
      <c r="G122" s="18"/>
    </row>
    <row r="123" spans="1:7" ht="14.4">
      <c r="A123" s="17" t="s">
        <v>220</v>
      </c>
      <c r="B123" s="23">
        <v>46139</v>
      </c>
      <c r="C123" s="1" t="s">
        <v>79</v>
      </c>
      <c r="D123" s="1" t="s">
        <v>77</v>
      </c>
      <c r="E123" s="1" t="s">
        <v>51</v>
      </c>
      <c r="F123" s="1" t="s">
        <v>52</v>
      </c>
      <c r="G123" s="18"/>
    </row>
    <row r="124" spans="1:7" ht="14.4">
      <c r="A124" s="17" t="s">
        <v>221</v>
      </c>
      <c r="B124" s="23">
        <v>46139</v>
      </c>
      <c r="C124" s="1" t="s">
        <v>114</v>
      </c>
      <c r="D124" s="1" t="s">
        <v>60</v>
      </c>
      <c r="E124" s="1" t="s">
        <v>51</v>
      </c>
      <c r="F124" s="1" t="s">
        <v>52</v>
      </c>
      <c r="G124" s="18"/>
    </row>
    <row r="125" spans="1:7" ht="14.4">
      <c r="A125" s="17" t="s">
        <v>222</v>
      </c>
      <c r="B125" s="23">
        <v>46139</v>
      </c>
      <c r="C125" s="1" t="s">
        <v>109</v>
      </c>
      <c r="D125" s="1" t="s">
        <v>50</v>
      </c>
      <c r="E125" s="1" t="s">
        <v>55</v>
      </c>
      <c r="F125" s="1" t="s">
        <v>52</v>
      </c>
      <c r="G125" s="18"/>
    </row>
    <row r="126" spans="1:7" ht="14.4">
      <c r="A126" s="17" t="s">
        <v>223</v>
      </c>
      <c r="B126" s="23">
        <v>46139</v>
      </c>
      <c r="C126" s="1" t="s">
        <v>195</v>
      </c>
      <c r="D126" s="1" t="s">
        <v>58</v>
      </c>
      <c r="E126" s="1" t="s">
        <v>75</v>
      </c>
      <c r="F126" s="1" t="s">
        <v>52</v>
      </c>
      <c r="G126" s="18"/>
    </row>
    <row r="127" spans="1:7" ht="14.4">
      <c r="A127" s="17" t="s">
        <v>224</v>
      </c>
      <c r="B127" s="23">
        <v>46139</v>
      </c>
      <c r="C127" s="1" t="s">
        <v>193</v>
      </c>
      <c r="D127" s="1" t="s">
        <v>65</v>
      </c>
      <c r="E127" s="1" t="s">
        <v>51</v>
      </c>
      <c r="F127" s="1" t="s">
        <v>101</v>
      </c>
      <c r="G127" s="18" t="s">
        <v>72</v>
      </c>
    </row>
    <row r="128" spans="1:7" ht="14.4">
      <c r="A128" s="17" t="s">
        <v>225</v>
      </c>
      <c r="B128" s="23">
        <v>46140</v>
      </c>
      <c r="C128" s="1" t="s">
        <v>114</v>
      </c>
      <c r="D128" s="1" t="s">
        <v>65</v>
      </c>
      <c r="E128" s="1" t="s">
        <v>51</v>
      </c>
      <c r="F128" s="1" t="s">
        <v>52</v>
      </c>
      <c r="G128" s="18"/>
    </row>
    <row r="129" spans="1:7" ht="14.4">
      <c r="A129" s="17" t="s">
        <v>226</v>
      </c>
      <c r="B129" s="23">
        <v>46140</v>
      </c>
      <c r="C129" s="1" t="s">
        <v>155</v>
      </c>
      <c r="D129" s="1" t="s">
        <v>60</v>
      </c>
      <c r="E129" s="1" t="s">
        <v>51</v>
      </c>
      <c r="F129" s="1" t="s">
        <v>52</v>
      </c>
      <c r="G129" s="18"/>
    </row>
    <row r="130" spans="1:7" ht="14.4">
      <c r="A130" s="17" t="s">
        <v>227</v>
      </c>
      <c r="B130" s="23">
        <v>46140</v>
      </c>
      <c r="C130" s="1" t="s">
        <v>138</v>
      </c>
      <c r="D130" s="1" t="s">
        <v>65</v>
      </c>
      <c r="E130" s="1" t="s">
        <v>55</v>
      </c>
      <c r="F130" s="1" t="s">
        <v>52</v>
      </c>
      <c r="G130" s="18"/>
    </row>
    <row r="131" spans="1:7" ht="14.4">
      <c r="A131" s="17" t="s">
        <v>228</v>
      </c>
      <c r="B131" s="23">
        <v>46140</v>
      </c>
      <c r="C131" s="1" t="s">
        <v>117</v>
      </c>
      <c r="D131" s="1" t="s">
        <v>65</v>
      </c>
      <c r="E131" s="1" t="s">
        <v>51</v>
      </c>
      <c r="F131" s="1" t="s">
        <v>52</v>
      </c>
      <c r="G131" s="18"/>
    </row>
    <row r="132" spans="1:7" ht="14.4">
      <c r="A132" s="17" t="s">
        <v>229</v>
      </c>
      <c r="B132" s="23">
        <v>46140</v>
      </c>
      <c r="C132" s="1" t="s">
        <v>57</v>
      </c>
      <c r="D132" s="1" t="s">
        <v>70</v>
      </c>
      <c r="E132" s="1" t="s">
        <v>51</v>
      </c>
      <c r="F132" s="1" t="s">
        <v>52</v>
      </c>
      <c r="G132" s="18"/>
    </row>
    <row r="133" spans="1:7" ht="14.4">
      <c r="A133" s="17" t="s">
        <v>230</v>
      </c>
      <c r="B133" s="23">
        <v>46140</v>
      </c>
      <c r="C133" s="1" t="s">
        <v>93</v>
      </c>
      <c r="D133" s="1" t="s">
        <v>58</v>
      </c>
      <c r="E133" s="1" t="s">
        <v>75</v>
      </c>
      <c r="F133" s="1" t="s">
        <v>52</v>
      </c>
      <c r="G133" s="18"/>
    </row>
    <row r="134" spans="1:7" ht="14.4">
      <c r="A134" s="17" t="s">
        <v>231</v>
      </c>
      <c r="B134" s="23">
        <v>46140</v>
      </c>
      <c r="C134" s="1" t="s">
        <v>90</v>
      </c>
      <c r="D134" s="1" t="s">
        <v>58</v>
      </c>
      <c r="E134" s="1" t="s">
        <v>51</v>
      </c>
      <c r="F134" s="1" t="s">
        <v>101</v>
      </c>
      <c r="G134" s="18" t="s">
        <v>72</v>
      </c>
    </row>
    <row r="135" spans="1:7" ht="14.4">
      <c r="A135" s="17" t="s">
        <v>232</v>
      </c>
      <c r="B135" s="23">
        <v>46141</v>
      </c>
      <c r="C135" s="1" t="s">
        <v>57</v>
      </c>
      <c r="D135" s="1" t="s">
        <v>50</v>
      </c>
      <c r="E135" s="1" t="s">
        <v>51</v>
      </c>
      <c r="F135" s="1" t="s">
        <v>52</v>
      </c>
      <c r="G135" s="18"/>
    </row>
    <row r="136" spans="1:7" ht="14.4">
      <c r="A136" s="17" t="s">
        <v>233</v>
      </c>
      <c r="B136" s="23">
        <v>46141</v>
      </c>
      <c r="C136" s="1" t="s">
        <v>105</v>
      </c>
      <c r="D136" s="1" t="s">
        <v>50</v>
      </c>
      <c r="E136" s="1" t="s">
        <v>51</v>
      </c>
      <c r="F136" s="1" t="s">
        <v>52</v>
      </c>
      <c r="G136" s="18"/>
    </row>
    <row r="137" spans="1:7" ht="14.4">
      <c r="A137" s="17" t="s">
        <v>234</v>
      </c>
      <c r="B137" s="23">
        <v>46141</v>
      </c>
      <c r="C137" s="1" t="s">
        <v>147</v>
      </c>
      <c r="D137" s="1" t="s">
        <v>60</v>
      </c>
      <c r="E137" s="1" t="s">
        <v>51</v>
      </c>
      <c r="F137" s="1" t="s">
        <v>52</v>
      </c>
      <c r="G137" s="18"/>
    </row>
    <row r="138" spans="1:7" ht="14.4">
      <c r="A138" s="17" t="s">
        <v>235</v>
      </c>
      <c r="B138" s="23">
        <v>46141</v>
      </c>
      <c r="C138" s="1" t="s">
        <v>85</v>
      </c>
      <c r="D138" s="1" t="s">
        <v>58</v>
      </c>
      <c r="E138" s="1" t="s">
        <v>51</v>
      </c>
      <c r="F138" s="1" t="s">
        <v>71</v>
      </c>
      <c r="G138" s="18" t="s">
        <v>72</v>
      </c>
    </row>
    <row r="139" spans="1:7" ht="14.4">
      <c r="A139" s="17" t="s">
        <v>236</v>
      </c>
      <c r="B139" s="23">
        <v>46142</v>
      </c>
      <c r="C139" s="1" t="s">
        <v>193</v>
      </c>
      <c r="D139" s="1" t="s">
        <v>77</v>
      </c>
      <c r="E139" s="1" t="s">
        <v>51</v>
      </c>
      <c r="F139" s="1" t="s">
        <v>52</v>
      </c>
      <c r="G139" s="18"/>
    </row>
    <row r="140" spans="1:7" ht="14.4">
      <c r="A140" s="19" t="s">
        <v>237</v>
      </c>
      <c r="B140" s="24">
        <v>46142</v>
      </c>
      <c r="C140" s="20" t="s">
        <v>138</v>
      </c>
      <c r="D140" s="20" t="s">
        <v>65</v>
      </c>
      <c r="E140" s="20" t="s">
        <v>51</v>
      </c>
      <c r="F140" s="20" t="s">
        <v>52</v>
      </c>
      <c r="G140" s="21"/>
    </row>
  </sheetData>
  <conditionalFormatting sqref="F2:F140">
    <cfRule type="expression" dxfId="2" priority="1">
      <formula>F2="Approved"</formula>
    </cfRule>
    <cfRule type="expression" dxfId="1" priority="2">
      <formula>F2="Pending"</formula>
    </cfRule>
    <cfRule type="expression" dxfId="0" priority="3">
      <formula>F2="Cancelled"</formula>
    </cfRule>
  </conditionalFormatting>
  <dataValidations count="3">
    <dataValidation type="list" sqref="D2:D200" xr:uid="{00000000-0002-0000-0200-000000000000}">
      <formula1>"Ops A,Ops B,Ops C,HQ,Support,Field"</formula1>
    </dataValidation>
    <dataValidation type="list" sqref="E2:E200" xr:uid="{00000000-0002-0000-0200-000001000000}">
      <formula1>"OL,Training,Duty Swap,Other"</formula1>
    </dataValidation>
    <dataValidation type="list" sqref="F2:F200" xr:uid="{00000000-0002-0000-0200-000002000000}">
      <formula1>"Approved,Pending,Cancelled"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3.8"/>
  <cols>
    <col min="1" max="1" width="14.296875" customWidth="1"/>
    <col min="2" max="2" width="11" customWidth="1"/>
  </cols>
  <sheetData>
    <row r="1" spans="1:8" ht="14.4">
      <c r="A1" s="8" t="s">
        <v>238</v>
      </c>
      <c r="B1" s="9" t="s">
        <v>239</v>
      </c>
      <c r="D1" s="10" t="s">
        <v>46</v>
      </c>
      <c r="F1" s="10" t="s">
        <v>44</v>
      </c>
      <c r="H1" s="10" t="s">
        <v>45</v>
      </c>
    </row>
    <row r="2" spans="1:8" ht="14.4">
      <c r="A2" s="2" t="s">
        <v>240</v>
      </c>
      <c r="B2" s="3">
        <v>1</v>
      </c>
      <c r="D2" s="6" t="s">
        <v>52</v>
      </c>
      <c r="F2" s="6" t="s">
        <v>65</v>
      </c>
      <c r="H2" s="6" t="s">
        <v>51</v>
      </c>
    </row>
    <row r="3" spans="1:8" ht="14.4">
      <c r="A3" s="2" t="s">
        <v>241</v>
      </c>
      <c r="B3" s="3">
        <v>2</v>
      </c>
      <c r="D3" s="6" t="s">
        <v>101</v>
      </c>
      <c r="F3" s="6" t="s">
        <v>50</v>
      </c>
      <c r="H3" s="6" t="s">
        <v>75</v>
      </c>
    </row>
    <row r="4" spans="1:8" ht="14.4">
      <c r="A4" s="2" t="s">
        <v>242</v>
      </c>
      <c r="B4" s="3">
        <v>3</v>
      </c>
      <c r="D4" s="7" t="s">
        <v>71</v>
      </c>
      <c r="F4" s="6" t="s">
        <v>77</v>
      </c>
      <c r="H4" s="6" t="s">
        <v>55</v>
      </c>
    </row>
    <row r="5" spans="1:8" ht="14.4">
      <c r="A5" s="2" t="s">
        <v>6</v>
      </c>
      <c r="B5" s="3">
        <v>4</v>
      </c>
      <c r="F5" s="6" t="s">
        <v>70</v>
      </c>
      <c r="H5" s="7" t="s">
        <v>243</v>
      </c>
    </row>
    <row r="6" spans="1:8" ht="14.4">
      <c r="A6" s="2" t="s">
        <v>244</v>
      </c>
      <c r="B6" s="3">
        <v>5</v>
      </c>
      <c r="F6" s="7" t="s">
        <v>58</v>
      </c>
    </row>
    <row r="7" spans="1:8" ht="14.4">
      <c r="A7" s="2" t="s">
        <v>245</v>
      </c>
      <c r="B7" s="3">
        <v>6</v>
      </c>
    </row>
    <row r="8" spans="1:8" ht="14.4">
      <c r="A8" s="2" t="s">
        <v>246</v>
      </c>
      <c r="B8" s="3">
        <v>7</v>
      </c>
    </row>
    <row r="9" spans="1:8" ht="14.4">
      <c r="A9" s="2" t="s">
        <v>247</v>
      </c>
      <c r="B9" s="3">
        <v>8</v>
      </c>
    </row>
    <row r="10" spans="1:8" ht="14.4">
      <c r="A10" s="2" t="s">
        <v>248</v>
      </c>
      <c r="B10" s="3">
        <v>9</v>
      </c>
    </row>
    <row r="11" spans="1:8" ht="14.4">
      <c r="A11" s="2" t="s">
        <v>249</v>
      </c>
      <c r="B11" s="3">
        <v>10</v>
      </c>
    </row>
    <row r="12" spans="1:8" ht="14.4">
      <c r="A12" s="2" t="s">
        <v>250</v>
      </c>
      <c r="B12" s="3">
        <v>11</v>
      </c>
    </row>
    <row r="13" spans="1:8" ht="14.4">
      <c r="A13" s="4" t="s">
        <v>251</v>
      </c>
      <c r="B13" s="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/>
  </sheetViews>
  <sheetFormatPr defaultRowHeight="13.8"/>
  <sheetData>
    <row r="1" spans="1:7">
      <c r="A1" s="40">
        <f>DATE(Calendar_View!$E$4,Calendar_View!$M$2,1)-WEEKDAY(DATE(Calendar_View!$E$4,Calendar_View!$M$2,1),2)+1+0</f>
        <v>46139</v>
      </c>
      <c r="B1" s="40">
        <f>DATE(Calendar_View!$E$4,Calendar_View!$M$2,1)-WEEKDAY(DATE(Calendar_View!$E$4,Calendar_View!$M$2,1),2)+1+1</f>
        <v>46140</v>
      </c>
      <c r="C1" s="40">
        <f>DATE(Calendar_View!$E$4,Calendar_View!$M$2,1)-WEEKDAY(DATE(Calendar_View!$E$4,Calendar_View!$M$2,1),2)+1+2</f>
        <v>46141</v>
      </c>
      <c r="D1" s="40">
        <f>DATE(Calendar_View!$E$4,Calendar_View!$M$2,1)-WEEKDAY(DATE(Calendar_View!$E$4,Calendar_View!$M$2,1),2)+1+3</f>
        <v>46142</v>
      </c>
      <c r="E1" s="40">
        <f>DATE(Calendar_View!$E$4,Calendar_View!$M$2,1)-WEEKDAY(DATE(Calendar_View!$E$4,Calendar_View!$M$2,1),2)+1+4</f>
        <v>46143</v>
      </c>
      <c r="F1" s="40">
        <f>DATE(Calendar_View!$E$4,Calendar_View!$M$2,1)-WEEKDAY(DATE(Calendar_View!$E$4,Calendar_View!$M$2,1),2)+1+5</f>
        <v>46144</v>
      </c>
      <c r="G1" s="40">
        <f>DATE(Calendar_View!$E$4,Calendar_View!$M$2,1)-WEEKDAY(DATE(Calendar_View!$E$4,Calendar_View!$M$2,1),2)+1+6</f>
        <v>46145</v>
      </c>
    </row>
    <row r="2" spans="1:7">
      <c r="A2" s="40">
        <f>DATE(Calendar_View!$E$4,Calendar_View!$M$2,1)-WEEKDAY(DATE(Calendar_View!$E$4,Calendar_View!$M$2,1),2)+1+7</f>
        <v>46146</v>
      </c>
      <c r="B2" s="40">
        <f>DATE(Calendar_View!$E$4,Calendar_View!$M$2,1)-WEEKDAY(DATE(Calendar_View!$E$4,Calendar_View!$M$2,1),2)+1+8</f>
        <v>46147</v>
      </c>
      <c r="C2" s="40">
        <f>DATE(Calendar_View!$E$4,Calendar_View!$M$2,1)-WEEKDAY(DATE(Calendar_View!$E$4,Calendar_View!$M$2,1),2)+1+9</f>
        <v>46148</v>
      </c>
      <c r="D2" s="40">
        <f>DATE(Calendar_View!$E$4,Calendar_View!$M$2,1)-WEEKDAY(DATE(Calendar_View!$E$4,Calendar_View!$M$2,1),2)+1+10</f>
        <v>46149</v>
      </c>
      <c r="E2" s="40">
        <f>DATE(Calendar_View!$E$4,Calendar_View!$M$2,1)-WEEKDAY(DATE(Calendar_View!$E$4,Calendar_View!$M$2,1),2)+1+11</f>
        <v>46150</v>
      </c>
      <c r="F2" s="40">
        <f>DATE(Calendar_View!$E$4,Calendar_View!$M$2,1)-WEEKDAY(DATE(Calendar_View!$E$4,Calendar_View!$M$2,1),2)+1+12</f>
        <v>46151</v>
      </c>
      <c r="G2" s="40">
        <f>DATE(Calendar_View!$E$4,Calendar_View!$M$2,1)-WEEKDAY(DATE(Calendar_View!$E$4,Calendar_View!$M$2,1),2)+1+13</f>
        <v>46152</v>
      </c>
    </row>
    <row r="3" spans="1:7">
      <c r="A3" s="40">
        <f>DATE(Calendar_View!$E$4,Calendar_View!$M$2,1)-WEEKDAY(DATE(Calendar_View!$E$4,Calendar_View!$M$2,1),2)+1+14</f>
        <v>46153</v>
      </c>
      <c r="B3" s="40">
        <f>DATE(Calendar_View!$E$4,Calendar_View!$M$2,1)-WEEKDAY(DATE(Calendar_View!$E$4,Calendar_View!$M$2,1),2)+1+15</f>
        <v>46154</v>
      </c>
      <c r="C3" s="40">
        <f>DATE(Calendar_View!$E$4,Calendar_View!$M$2,1)-WEEKDAY(DATE(Calendar_View!$E$4,Calendar_View!$M$2,1),2)+1+16</f>
        <v>46155</v>
      </c>
      <c r="D3" s="40">
        <f>DATE(Calendar_View!$E$4,Calendar_View!$M$2,1)-WEEKDAY(DATE(Calendar_View!$E$4,Calendar_View!$M$2,1),2)+1+17</f>
        <v>46156</v>
      </c>
      <c r="E3" s="40">
        <f>DATE(Calendar_View!$E$4,Calendar_View!$M$2,1)-WEEKDAY(DATE(Calendar_View!$E$4,Calendar_View!$M$2,1),2)+1+18</f>
        <v>46157</v>
      </c>
      <c r="F3" s="40">
        <f>DATE(Calendar_View!$E$4,Calendar_View!$M$2,1)-WEEKDAY(DATE(Calendar_View!$E$4,Calendar_View!$M$2,1),2)+1+19</f>
        <v>46158</v>
      </c>
      <c r="G3" s="40">
        <f>DATE(Calendar_View!$E$4,Calendar_View!$M$2,1)-WEEKDAY(DATE(Calendar_View!$E$4,Calendar_View!$M$2,1),2)+1+20</f>
        <v>46159</v>
      </c>
    </row>
    <row r="4" spans="1:7">
      <c r="A4" s="40">
        <f>DATE(Calendar_View!$E$4,Calendar_View!$M$2,1)-WEEKDAY(DATE(Calendar_View!$E$4,Calendar_View!$M$2,1),2)+1+21</f>
        <v>46160</v>
      </c>
      <c r="B4" s="40">
        <f>DATE(Calendar_View!$E$4,Calendar_View!$M$2,1)-WEEKDAY(DATE(Calendar_View!$E$4,Calendar_View!$M$2,1),2)+1+22</f>
        <v>46161</v>
      </c>
      <c r="C4" s="40">
        <f>DATE(Calendar_View!$E$4,Calendar_View!$M$2,1)-WEEKDAY(DATE(Calendar_View!$E$4,Calendar_View!$M$2,1),2)+1+23</f>
        <v>46162</v>
      </c>
      <c r="D4" s="40">
        <f>DATE(Calendar_View!$E$4,Calendar_View!$M$2,1)-WEEKDAY(DATE(Calendar_View!$E$4,Calendar_View!$M$2,1),2)+1+24</f>
        <v>46163</v>
      </c>
      <c r="E4" s="40">
        <f>DATE(Calendar_View!$E$4,Calendar_View!$M$2,1)-WEEKDAY(DATE(Calendar_View!$E$4,Calendar_View!$M$2,1),2)+1+25</f>
        <v>46164</v>
      </c>
      <c r="F4" s="40">
        <f>DATE(Calendar_View!$E$4,Calendar_View!$M$2,1)-WEEKDAY(DATE(Calendar_View!$E$4,Calendar_View!$M$2,1),2)+1+26</f>
        <v>46165</v>
      </c>
      <c r="G4" s="40">
        <f>DATE(Calendar_View!$E$4,Calendar_View!$M$2,1)-WEEKDAY(DATE(Calendar_View!$E$4,Calendar_View!$M$2,1),2)+1+27</f>
        <v>46166</v>
      </c>
    </row>
    <row r="5" spans="1:7">
      <c r="A5" s="40">
        <f>DATE(Calendar_View!$E$4,Calendar_View!$M$2,1)-WEEKDAY(DATE(Calendar_View!$E$4,Calendar_View!$M$2,1),2)+1+28</f>
        <v>46167</v>
      </c>
      <c r="B5" s="40">
        <f>DATE(Calendar_View!$E$4,Calendar_View!$M$2,1)-WEEKDAY(DATE(Calendar_View!$E$4,Calendar_View!$M$2,1),2)+1+29</f>
        <v>46168</v>
      </c>
      <c r="C5" s="40">
        <f>DATE(Calendar_View!$E$4,Calendar_View!$M$2,1)-WEEKDAY(DATE(Calendar_View!$E$4,Calendar_View!$M$2,1),2)+1+30</f>
        <v>46169</v>
      </c>
      <c r="D5" s="40">
        <f>DATE(Calendar_View!$E$4,Calendar_View!$M$2,1)-WEEKDAY(DATE(Calendar_View!$E$4,Calendar_View!$M$2,1),2)+1+31</f>
        <v>46170</v>
      </c>
      <c r="E5" s="40">
        <f>DATE(Calendar_View!$E$4,Calendar_View!$M$2,1)-WEEKDAY(DATE(Calendar_View!$E$4,Calendar_View!$M$2,1),2)+1+32</f>
        <v>46171</v>
      </c>
      <c r="F5" s="40">
        <f>DATE(Calendar_View!$E$4,Calendar_View!$M$2,1)-WEEKDAY(DATE(Calendar_View!$E$4,Calendar_View!$M$2,1),2)+1+33</f>
        <v>46172</v>
      </c>
      <c r="G5" s="40">
        <f>DATE(Calendar_View!$E$4,Calendar_View!$M$2,1)-WEEKDAY(DATE(Calendar_View!$E$4,Calendar_View!$M$2,1),2)+1+34</f>
        <v>46173</v>
      </c>
    </row>
    <row r="6" spans="1:7">
      <c r="A6" s="40">
        <f>DATE(Calendar_View!$E$4,Calendar_View!$M$2,1)-WEEKDAY(DATE(Calendar_View!$E$4,Calendar_View!$M$2,1),2)+1+35</f>
        <v>46174</v>
      </c>
      <c r="B6" s="40">
        <f>DATE(Calendar_View!$E$4,Calendar_View!$M$2,1)-WEEKDAY(DATE(Calendar_View!$E$4,Calendar_View!$M$2,1),2)+1+36</f>
        <v>46175</v>
      </c>
      <c r="C6" s="40">
        <f>DATE(Calendar_View!$E$4,Calendar_View!$M$2,1)-WEEKDAY(DATE(Calendar_View!$E$4,Calendar_View!$M$2,1),2)+1+37</f>
        <v>46176</v>
      </c>
      <c r="D6" s="40">
        <f>DATE(Calendar_View!$E$4,Calendar_View!$M$2,1)-WEEKDAY(DATE(Calendar_View!$E$4,Calendar_View!$M$2,1),2)+1+38</f>
        <v>46177</v>
      </c>
      <c r="E6" s="40">
        <f>DATE(Calendar_View!$E$4,Calendar_View!$M$2,1)-WEEKDAY(DATE(Calendar_View!$E$4,Calendar_View!$M$2,1),2)+1+39</f>
        <v>46178</v>
      </c>
      <c r="F6" s="40">
        <f>DATE(Calendar_View!$E$4,Calendar_View!$M$2,1)-WEEKDAY(DATE(Calendar_View!$E$4,Calendar_View!$M$2,1),2)+1+40</f>
        <v>46179</v>
      </c>
      <c r="G6" s="40">
        <f>DATE(Calendar_View!$E$4,Calendar_View!$M$2,1)-WEEKDAY(DATE(Calendar_View!$E$4,Calendar_View!$M$2,1),2)+1+41</f>
        <v>46180</v>
      </c>
    </row>
    <row r="7" spans="1:7">
      <c r="A7" s="40"/>
      <c r="B7" s="40"/>
      <c r="C7" s="40"/>
      <c r="D7" s="40"/>
      <c r="E7" s="40"/>
      <c r="F7" s="40"/>
      <c r="G7" s="40"/>
    </row>
    <row r="8" spans="1:7">
      <c r="A8" s="40"/>
      <c r="B8" s="40"/>
      <c r="C8" s="40"/>
      <c r="D8" s="40"/>
      <c r="E8" s="40"/>
      <c r="F8" s="40"/>
      <c r="G8" s="40"/>
    </row>
    <row r="9" spans="1:7">
      <c r="A9" s="40" t="str">
        <f>IFERROR(INDEX(Daily_Capacity!$F$4:$F$34,MATCH(A1,Daily_Capacity!$A$4:$A$34,0)),"")</f>
        <v/>
      </c>
      <c r="B9" s="40" t="str">
        <f>IFERROR(INDEX(Daily_Capacity!$F$4:$F$34,MATCH(B1,Daily_Capacity!$A$4:$A$34,0)),"")</f>
        <v/>
      </c>
      <c r="C9" s="40" t="str">
        <f>IFERROR(INDEX(Daily_Capacity!$F$4:$F$34,MATCH(C1,Daily_Capacity!$A$4:$A$34,0)),"")</f>
        <v/>
      </c>
      <c r="D9" s="40" t="str">
        <f>IFERROR(INDEX(Daily_Capacity!$F$4:$F$34,MATCH(D1,Daily_Capacity!$A$4:$A$34,0)),"")</f>
        <v/>
      </c>
      <c r="E9" s="40">
        <f>IFERROR(INDEX(Daily_Capacity!$F$4:$F$34,MATCH(E1,Daily_Capacity!$A$4:$A$34,0)),"")</f>
        <v>0</v>
      </c>
      <c r="F9" s="40">
        <f>IFERROR(INDEX(Daily_Capacity!$F$4:$F$34,MATCH(F1,Daily_Capacity!$A$4:$A$34,0)),"")</f>
        <v>0</v>
      </c>
      <c r="G9" s="40">
        <f>IFERROR(INDEX(Daily_Capacity!$F$4:$F$34,MATCH(G1,Daily_Capacity!$A$4:$A$34,0)),"")</f>
        <v>0</v>
      </c>
    </row>
    <row r="10" spans="1:7">
      <c r="A10" s="40">
        <f>IFERROR(INDEX(Daily_Capacity!$F$4:$F$34,MATCH(A2,Daily_Capacity!$A$4:$A$34,0)),"")</f>
        <v>0</v>
      </c>
      <c r="B10" s="40">
        <f>IFERROR(INDEX(Daily_Capacity!$F$4:$F$34,MATCH(B2,Daily_Capacity!$A$4:$A$34,0)),"")</f>
        <v>0</v>
      </c>
      <c r="C10" s="40">
        <f>IFERROR(INDEX(Daily_Capacity!$F$4:$F$34,MATCH(C2,Daily_Capacity!$A$4:$A$34,0)),"")</f>
        <v>0</v>
      </c>
      <c r="D10" s="40">
        <f>IFERROR(INDEX(Daily_Capacity!$F$4:$F$34,MATCH(D2,Daily_Capacity!$A$4:$A$34,0)),"")</f>
        <v>0</v>
      </c>
      <c r="E10" s="40">
        <f>IFERROR(INDEX(Daily_Capacity!$F$4:$F$34,MATCH(E2,Daily_Capacity!$A$4:$A$34,0)),"")</f>
        <v>0</v>
      </c>
      <c r="F10" s="40">
        <f>IFERROR(INDEX(Daily_Capacity!$F$4:$F$34,MATCH(F2,Daily_Capacity!$A$4:$A$34,0)),"")</f>
        <v>0</v>
      </c>
      <c r="G10" s="40">
        <f>IFERROR(INDEX(Daily_Capacity!$F$4:$F$34,MATCH(G2,Daily_Capacity!$A$4:$A$34,0)),"")</f>
        <v>0</v>
      </c>
    </row>
    <row r="11" spans="1:7">
      <c r="A11" s="40">
        <f>IFERROR(INDEX(Daily_Capacity!$F$4:$F$34,MATCH(A3,Daily_Capacity!$A$4:$A$34,0)),"")</f>
        <v>0</v>
      </c>
      <c r="B11" s="40">
        <f>IFERROR(INDEX(Daily_Capacity!$F$4:$F$34,MATCH(B3,Daily_Capacity!$A$4:$A$34,0)),"")</f>
        <v>0</v>
      </c>
      <c r="C11" s="40">
        <f>IFERROR(INDEX(Daily_Capacity!$F$4:$F$34,MATCH(C3,Daily_Capacity!$A$4:$A$34,0)),"")</f>
        <v>0</v>
      </c>
      <c r="D11" s="40">
        <f>IFERROR(INDEX(Daily_Capacity!$F$4:$F$34,MATCH(D3,Daily_Capacity!$A$4:$A$34,0)),"")</f>
        <v>0</v>
      </c>
      <c r="E11" s="40">
        <f>IFERROR(INDEX(Daily_Capacity!$F$4:$F$34,MATCH(E3,Daily_Capacity!$A$4:$A$34,0)),"")</f>
        <v>0</v>
      </c>
      <c r="F11" s="40">
        <f>IFERROR(INDEX(Daily_Capacity!$F$4:$F$34,MATCH(F3,Daily_Capacity!$A$4:$A$34,0)),"")</f>
        <v>0</v>
      </c>
      <c r="G11" s="40">
        <f>IFERROR(INDEX(Daily_Capacity!$F$4:$F$34,MATCH(G3,Daily_Capacity!$A$4:$A$34,0)),"")</f>
        <v>0</v>
      </c>
    </row>
    <row r="12" spans="1:7">
      <c r="A12" s="40">
        <f>IFERROR(INDEX(Daily_Capacity!$F$4:$F$34,MATCH(A4,Daily_Capacity!$A$4:$A$34,0)),"")</f>
        <v>0</v>
      </c>
      <c r="B12" s="40">
        <f>IFERROR(INDEX(Daily_Capacity!$F$4:$F$34,MATCH(B4,Daily_Capacity!$A$4:$A$34,0)),"")</f>
        <v>0</v>
      </c>
      <c r="C12" s="40">
        <f>IFERROR(INDEX(Daily_Capacity!$F$4:$F$34,MATCH(C4,Daily_Capacity!$A$4:$A$34,0)),"")</f>
        <v>0</v>
      </c>
      <c r="D12" s="40">
        <f>IFERROR(INDEX(Daily_Capacity!$F$4:$F$34,MATCH(D4,Daily_Capacity!$A$4:$A$34,0)),"")</f>
        <v>0</v>
      </c>
      <c r="E12" s="40">
        <f>IFERROR(INDEX(Daily_Capacity!$F$4:$F$34,MATCH(E4,Daily_Capacity!$A$4:$A$34,0)),"")</f>
        <v>0</v>
      </c>
      <c r="F12" s="40">
        <f>IFERROR(INDEX(Daily_Capacity!$F$4:$F$34,MATCH(F4,Daily_Capacity!$A$4:$A$34,0)),"")</f>
        <v>0</v>
      </c>
      <c r="G12" s="40">
        <f>IFERROR(INDEX(Daily_Capacity!$F$4:$F$34,MATCH(G4,Daily_Capacity!$A$4:$A$34,0)),"")</f>
        <v>0</v>
      </c>
    </row>
    <row r="13" spans="1:7">
      <c r="A13" s="40">
        <f>IFERROR(INDEX(Daily_Capacity!$F$4:$F$34,MATCH(A5,Daily_Capacity!$A$4:$A$34,0)),"")</f>
        <v>0</v>
      </c>
      <c r="B13" s="40">
        <f>IFERROR(INDEX(Daily_Capacity!$F$4:$F$34,MATCH(B5,Daily_Capacity!$A$4:$A$34,0)),"")</f>
        <v>0</v>
      </c>
      <c r="C13" s="40">
        <f>IFERROR(INDEX(Daily_Capacity!$F$4:$F$34,MATCH(C5,Daily_Capacity!$A$4:$A$34,0)),"")</f>
        <v>0</v>
      </c>
      <c r="D13" s="40">
        <f>IFERROR(INDEX(Daily_Capacity!$F$4:$F$34,MATCH(D5,Daily_Capacity!$A$4:$A$34,0)),"")</f>
        <v>0</v>
      </c>
      <c r="E13" s="40">
        <f>IFERROR(INDEX(Daily_Capacity!$F$4:$F$34,MATCH(E5,Daily_Capacity!$A$4:$A$34,0)),"")</f>
        <v>0</v>
      </c>
      <c r="F13" s="40">
        <f>IFERROR(INDEX(Daily_Capacity!$F$4:$F$34,MATCH(F5,Daily_Capacity!$A$4:$A$34,0)),"")</f>
        <v>0</v>
      </c>
      <c r="G13" s="40">
        <f>IFERROR(INDEX(Daily_Capacity!$F$4:$F$34,MATCH(G5,Daily_Capacity!$A$4:$A$34,0)),"")</f>
        <v>0</v>
      </c>
    </row>
    <row r="14" spans="1:7">
      <c r="A14" s="40" t="str">
        <f>IFERROR(INDEX(Daily_Capacity!$F$4:$F$34,MATCH(A6,Daily_Capacity!$A$4:$A$34,0)),"")</f>
        <v/>
      </c>
      <c r="B14" s="40" t="str">
        <f>IFERROR(INDEX(Daily_Capacity!$F$4:$F$34,MATCH(B6,Daily_Capacity!$A$4:$A$34,0)),"")</f>
        <v/>
      </c>
      <c r="C14" s="40" t="str">
        <f>IFERROR(INDEX(Daily_Capacity!$F$4:$F$34,MATCH(C6,Daily_Capacity!$A$4:$A$34,0)),"")</f>
        <v/>
      </c>
      <c r="D14" s="40" t="str">
        <f>IFERROR(INDEX(Daily_Capacity!$F$4:$F$34,MATCH(D6,Daily_Capacity!$A$4:$A$34,0)),"")</f>
        <v/>
      </c>
      <c r="E14" s="40" t="str">
        <f>IFERROR(INDEX(Daily_Capacity!$F$4:$F$34,MATCH(E6,Daily_Capacity!$A$4:$A$34,0)),"")</f>
        <v/>
      </c>
      <c r="F14" s="40" t="str">
        <f>IFERROR(INDEX(Daily_Capacity!$F$4:$F$34,MATCH(F6,Daily_Capacity!$A$4:$A$34,0)),"")</f>
        <v/>
      </c>
      <c r="G14" s="40" t="str">
        <f>IFERROR(INDEX(Daily_Capacity!$F$4:$F$34,MATCH(G6,Daily_Capacity!$A$4:$A$34,0)),"")</f>
        <v/>
      </c>
    </row>
    <row r="15" spans="1:7">
      <c r="A15" s="40"/>
      <c r="B15" s="40"/>
      <c r="C15" s="40"/>
      <c r="D15" s="40"/>
      <c r="E15" s="40"/>
      <c r="F15" s="40"/>
      <c r="G15" s="40"/>
    </row>
    <row r="16" spans="1:7">
      <c r="A16" s="40"/>
      <c r="B16" s="40"/>
      <c r="C16" s="40"/>
      <c r="D16" s="40"/>
      <c r="E16" s="40"/>
      <c r="F16" s="40"/>
      <c r="G16" s="40"/>
    </row>
    <row r="17" spans="1:7">
      <c r="A17" s="40" t="str">
        <f>IFERROR(INDEX(Daily_Capacity!$E$4:$E$34,MATCH(A1,Daily_Capacity!$A$4:$A$34,0)),"")</f>
        <v/>
      </c>
      <c r="B17" s="40" t="str">
        <f>IFERROR(INDEX(Daily_Capacity!$E$4:$E$34,MATCH(B1,Daily_Capacity!$A$4:$A$34,0)),"")</f>
        <v/>
      </c>
      <c r="C17" s="40" t="str">
        <f>IFERROR(INDEX(Daily_Capacity!$E$4:$E$34,MATCH(C1,Daily_Capacity!$A$4:$A$34,0)),"")</f>
        <v/>
      </c>
      <c r="D17" s="40" t="str">
        <f>IFERROR(INDEX(Daily_Capacity!$E$4:$E$34,MATCH(D1,Daily_Capacity!$A$4:$A$34,0)),"")</f>
        <v/>
      </c>
      <c r="E17" s="40">
        <f>IFERROR(INDEX(Daily_Capacity!$E$4:$E$34,MATCH(E1,Daily_Capacity!$A$4:$A$34,0)),"")</f>
        <v>6</v>
      </c>
      <c r="F17" s="40">
        <f>IFERROR(INDEX(Daily_Capacity!$E$4:$E$34,MATCH(F1,Daily_Capacity!$A$4:$A$34,0)),"")</f>
        <v>4</v>
      </c>
      <c r="G17" s="40">
        <f>IFERROR(INDEX(Daily_Capacity!$E$4:$E$34,MATCH(G1,Daily_Capacity!$A$4:$A$34,0)),"")</f>
        <v>4</v>
      </c>
    </row>
    <row r="18" spans="1:7">
      <c r="A18" s="40">
        <f>IFERROR(INDEX(Daily_Capacity!$E$4:$E$34,MATCH(A2,Daily_Capacity!$A$4:$A$34,0)),"")</f>
        <v>6</v>
      </c>
      <c r="B18" s="40">
        <f>IFERROR(INDEX(Daily_Capacity!$E$4:$E$34,MATCH(B2,Daily_Capacity!$A$4:$A$34,0)),"")</f>
        <v>6</v>
      </c>
      <c r="C18" s="40">
        <f>IFERROR(INDEX(Daily_Capacity!$E$4:$E$34,MATCH(C2,Daily_Capacity!$A$4:$A$34,0)),"")</f>
        <v>6</v>
      </c>
      <c r="D18" s="40">
        <f>IFERROR(INDEX(Daily_Capacity!$E$4:$E$34,MATCH(D2,Daily_Capacity!$A$4:$A$34,0)),"")</f>
        <v>6</v>
      </c>
      <c r="E18" s="40">
        <f>IFERROR(INDEX(Daily_Capacity!$E$4:$E$34,MATCH(E2,Daily_Capacity!$A$4:$A$34,0)),"")</f>
        <v>8</v>
      </c>
      <c r="F18" s="40">
        <f>IFERROR(INDEX(Daily_Capacity!$E$4:$E$34,MATCH(F2,Daily_Capacity!$A$4:$A$34,0)),"")</f>
        <v>4</v>
      </c>
      <c r="G18" s="40">
        <f>IFERROR(INDEX(Daily_Capacity!$E$4:$E$34,MATCH(G2,Daily_Capacity!$A$4:$A$34,0)),"")</f>
        <v>4</v>
      </c>
    </row>
    <row r="19" spans="1:7">
      <c r="A19" s="40">
        <f>IFERROR(INDEX(Daily_Capacity!$E$4:$E$34,MATCH(A3,Daily_Capacity!$A$4:$A$34,0)),"")</f>
        <v>6</v>
      </c>
      <c r="B19" s="40">
        <f>IFERROR(INDEX(Daily_Capacity!$E$4:$E$34,MATCH(B3,Daily_Capacity!$A$4:$A$34,0)),"")</f>
        <v>3</v>
      </c>
      <c r="C19" s="40">
        <f>IFERROR(INDEX(Daily_Capacity!$E$4:$E$34,MATCH(C3,Daily_Capacity!$A$4:$A$34,0)),"")</f>
        <v>6</v>
      </c>
      <c r="D19" s="40">
        <f>IFERROR(INDEX(Daily_Capacity!$E$4:$E$34,MATCH(D3,Daily_Capacity!$A$4:$A$34,0)),"")</f>
        <v>6</v>
      </c>
      <c r="E19" s="40">
        <f>IFERROR(INDEX(Daily_Capacity!$E$4:$E$34,MATCH(E3,Daily_Capacity!$A$4:$A$34,0)),"")</f>
        <v>5</v>
      </c>
      <c r="F19" s="40">
        <f>IFERROR(INDEX(Daily_Capacity!$E$4:$E$34,MATCH(F3,Daily_Capacity!$A$4:$A$34,0)),"")</f>
        <v>4</v>
      </c>
      <c r="G19" s="40">
        <f>IFERROR(INDEX(Daily_Capacity!$E$4:$E$34,MATCH(G3,Daily_Capacity!$A$4:$A$34,0)),"")</f>
        <v>4</v>
      </c>
    </row>
    <row r="20" spans="1:7">
      <c r="A20" s="40">
        <f>IFERROR(INDEX(Daily_Capacity!$E$4:$E$34,MATCH(A4,Daily_Capacity!$A$4:$A$34,0)),"")</f>
        <v>6</v>
      </c>
      <c r="B20" s="40">
        <f>IFERROR(INDEX(Daily_Capacity!$E$4:$E$34,MATCH(B4,Daily_Capacity!$A$4:$A$34,0)),"")</f>
        <v>6</v>
      </c>
      <c r="C20" s="40">
        <f>IFERROR(INDEX(Daily_Capacity!$E$4:$E$34,MATCH(C4,Daily_Capacity!$A$4:$A$34,0)),"")</f>
        <v>6</v>
      </c>
      <c r="D20" s="40">
        <f>IFERROR(INDEX(Daily_Capacity!$E$4:$E$34,MATCH(D4,Daily_Capacity!$A$4:$A$34,0)),"")</f>
        <v>8</v>
      </c>
      <c r="E20" s="40">
        <f>IFERROR(INDEX(Daily_Capacity!$E$4:$E$34,MATCH(E4,Daily_Capacity!$A$4:$A$34,0)),"")</f>
        <v>6</v>
      </c>
      <c r="F20" s="40">
        <f>IFERROR(INDEX(Daily_Capacity!$E$4:$E$34,MATCH(F4,Daily_Capacity!$A$4:$A$34,0)),"")</f>
        <v>4</v>
      </c>
      <c r="G20" s="40">
        <f>IFERROR(INDEX(Daily_Capacity!$E$4:$E$34,MATCH(G4,Daily_Capacity!$A$4:$A$34,0)),"")</f>
        <v>4</v>
      </c>
    </row>
    <row r="21" spans="1:7">
      <c r="A21" s="40">
        <f>IFERROR(INDEX(Daily_Capacity!$E$4:$E$34,MATCH(A5,Daily_Capacity!$A$4:$A$34,0)),"")</f>
        <v>6</v>
      </c>
      <c r="B21" s="40">
        <f>IFERROR(INDEX(Daily_Capacity!$E$4:$E$34,MATCH(B5,Daily_Capacity!$A$4:$A$34,0)),"")</f>
        <v>6</v>
      </c>
      <c r="C21" s="40">
        <f>IFERROR(INDEX(Daily_Capacity!$E$4:$E$34,MATCH(C5,Daily_Capacity!$A$4:$A$34,0)),"")</f>
        <v>6</v>
      </c>
      <c r="D21" s="40">
        <f>IFERROR(INDEX(Daily_Capacity!$E$4:$E$34,MATCH(D5,Daily_Capacity!$A$4:$A$34,0)),"")</f>
        <v>5</v>
      </c>
      <c r="E21" s="40">
        <f>IFERROR(INDEX(Daily_Capacity!$E$4:$E$34,MATCH(E5,Daily_Capacity!$A$4:$A$34,0)),"")</f>
        <v>6</v>
      </c>
      <c r="F21" s="40">
        <f>IFERROR(INDEX(Daily_Capacity!$E$4:$E$34,MATCH(F5,Daily_Capacity!$A$4:$A$34,0)),"")</f>
        <v>4</v>
      </c>
      <c r="G21" s="40">
        <f>IFERROR(INDEX(Daily_Capacity!$E$4:$E$34,MATCH(G5,Daily_Capacity!$A$4:$A$34,0)),"")</f>
        <v>4</v>
      </c>
    </row>
    <row r="22" spans="1:7">
      <c r="A22" s="40" t="str">
        <f>IFERROR(INDEX(Daily_Capacity!$E$4:$E$34,MATCH(A6,Daily_Capacity!$A$4:$A$34,0)),"")</f>
        <v/>
      </c>
      <c r="B22" s="40" t="str">
        <f>IFERROR(INDEX(Daily_Capacity!$E$4:$E$34,MATCH(B6,Daily_Capacity!$A$4:$A$34,0)),"")</f>
        <v/>
      </c>
      <c r="C22" s="40" t="str">
        <f>IFERROR(INDEX(Daily_Capacity!$E$4:$E$34,MATCH(C6,Daily_Capacity!$A$4:$A$34,0)),"")</f>
        <v/>
      </c>
      <c r="D22" s="40" t="str">
        <f>IFERROR(INDEX(Daily_Capacity!$E$4:$E$34,MATCH(D6,Daily_Capacity!$A$4:$A$34,0)),"")</f>
        <v/>
      </c>
      <c r="E22" s="40" t="str">
        <f>IFERROR(INDEX(Daily_Capacity!$E$4:$E$34,MATCH(E6,Daily_Capacity!$A$4:$A$34,0)),"")</f>
        <v/>
      </c>
      <c r="F22" s="40" t="str">
        <f>IFERROR(INDEX(Daily_Capacity!$E$4:$E$34,MATCH(F6,Daily_Capacity!$A$4:$A$34,0)),"")</f>
        <v/>
      </c>
      <c r="G22" s="40" t="str">
        <f>IFERROR(INDEX(Daily_Capacity!$E$4:$E$34,MATCH(G6,Daily_Capacity!$A$4:$A$34,0)),"")</f>
        <v/>
      </c>
    </row>
    <row r="23" spans="1:7">
      <c r="A23" s="40"/>
      <c r="B23" s="40"/>
      <c r="C23" s="40"/>
      <c r="D23" s="40"/>
      <c r="E23" s="40"/>
      <c r="F23" s="40"/>
      <c r="G23" s="40"/>
    </row>
    <row r="24" spans="1:7">
      <c r="A24" s="40"/>
      <c r="B24" s="40"/>
      <c r="C24" s="40"/>
      <c r="D24" s="40"/>
      <c r="E24" s="40"/>
      <c r="F24" s="40"/>
      <c r="G24" s="40"/>
    </row>
    <row r="25" spans="1:7">
      <c r="A25" s="40" t="str">
        <f>IFERROR(INDEX(Daily_Capacity!$G$4:$G$34,MATCH(A1,Daily_Capacity!$A$4:$A$34,0)),"")</f>
        <v/>
      </c>
      <c r="B25" s="40" t="str">
        <f>IFERROR(INDEX(Daily_Capacity!$G$4:$G$34,MATCH(B1,Daily_Capacity!$A$4:$A$34,0)),"")</f>
        <v/>
      </c>
      <c r="C25" s="40" t="str">
        <f>IFERROR(INDEX(Daily_Capacity!$G$4:$G$34,MATCH(C1,Daily_Capacity!$A$4:$A$34,0)),"")</f>
        <v/>
      </c>
      <c r="D25" s="40" t="str">
        <f>IFERROR(INDEX(Daily_Capacity!$G$4:$G$34,MATCH(D1,Daily_Capacity!$A$4:$A$34,0)),"")</f>
        <v/>
      </c>
      <c r="E25" s="40">
        <f>IFERROR(INDEX(Daily_Capacity!$G$4:$G$34,MATCH(E1,Daily_Capacity!$A$4:$A$34,0)),"")</f>
        <v>6</v>
      </c>
      <c r="F25" s="40">
        <f>IFERROR(INDEX(Daily_Capacity!$G$4:$G$34,MATCH(F1,Daily_Capacity!$A$4:$A$34,0)),"")</f>
        <v>4</v>
      </c>
      <c r="G25" s="40">
        <f>IFERROR(INDEX(Daily_Capacity!$G$4:$G$34,MATCH(G1,Daily_Capacity!$A$4:$A$34,0)),"")</f>
        <v>4</v>
      </c>
    </row>
    <row r="26" spans="1:7">
      <c r="A26" s="40">
        <f>IFERROR(INDEX(Daily_Capacity!$G$4:$G$34,MATCH(A2,Daily_Capacity!$A$4:$A$34,0)),"")</f>
        <v>6</v>
      </c>
      <c r="B26" s="40">
        <f>IFERROR(INDEX(Daily_Capacity!$G$4:$G$34,MATCH(B2,Daily_Capacity!$A$4:$A$34,0)),"")</f>
        <v>6</v>
      </c>
      <c r="C26" s="40">
        <f>IFERROR(INDEX(Daily_Capacity!$G$4:$G$34,MATCH(C2,Daily_Capacity!$A$4:$A$34,0)),"")</f>
        <v>6</v>
      </c>
      <c r="D26" s="40">
        <f>IFERROR(INDEX(Daily_Capacity!$G$4:$G$34,MATCH(D2,Daily_Capacity!$A$4:$A$34,0)),"")</f>
        <v>6</v>
      </c>
      <c r="E26" s="40">
        <f>IFERROR(INDEX(Daily_Capacity!$G$4:$G$34,MATCH(E2,Daily_Capacity!$A$4:$A$34,0)),"")</f>
        <v>8</v>
      </c>
      <c r="F26" s="40">
        <f>IFERROR(INDEX(Daily_Capacity!$G$4:$G$34,MATCH(F2,Daily_Capacity!$A$4:$A$34,0)),"")</f>
        <v>4</v>
      </c>
      <c r="G26" s="40">
        <f>IFERROR(INDEX(Daily_Capacity!$G$4:$G$34,MATCH(G2,Daily_Capacity!$A$4:$A$34,0)),"")</f>
        <v>4</v>
      </c>
    </row>
    <row r="27" spans="1:7">
      <c r="A27" s="40">
        <f>IFERROR(INDEX(Daily_Capacity!$G$4:$G$34,MATCH(A3,Daily_Capacity!$A$4:$A$34,0)),"")</f>
        <v>6</v>
      </c>
      <c r="B27" s="40">
        <f>IFERROR(INDEX(Daily_Capacity!$G$4:$G$34,MATCH(B3,Daily_Capacity!$A$4:$A$34,0)),"")</f>
        <v>3</v>
      </c>
      <c r="C27" s="40">
        <f>IFERROR(INDEX(Daily_Capacity!$G$4:$G$34,MATCH(C3,Daily_Capacity!$A$4:$A$34,0)),"")</f>
        <v>6</v>
      </c>
      <c r="D27" s="40">
        <f>IFERROR(INDEX(Daily_Capacity!$G$4:$G$34,MATCH(D3,Daily_Capacity!$A$4:$A$34,0)),"")</f>
        <v>6</v>
      </c>
      <c r="E27" s="40">
        <f>IFERROR(INDEX(Daily_Capacity!$G$4:$G$34,MATCH(E3,Daily_Capacity!$A$4:$A$34,0)),"")</f>
        <v>5</v>
      </c>
      <c r="F27" s="40">
        <f>IFERROR(INDEX(Daily_Capacity!$G$4:$G$34,MATCH(F3,Daily_Capacity!$A$4:$A$34,0)),"")</f>
        <v>4</v>
      </c>
      <c r="G27" s="40">
        <f>IFERROR(INDEX(Daily_Capacity!$G$4:$G$34,MATCH(G3,Daily_Capacity!$A$4:$A$34,0)),"")</f>
        <v>4</v>
      </c>
    </row>
    <row r="28" spans="1:7">
      <c r="A28" s="40">
        <f>IFERROR(INDEX(Daily_Capacity!$G$4:$G$34,MATCH(A4,Daily_Capacity!$A$4:$A$34,0)),"")</f>
        <v>6</v>
      </c>
      <c r="B28" s="40">
        <f>IFERROR(INDEX(Daily_Capacity!$G$4:$G$34,MATCH(B4,Daily_Capacity!$A$4:$A$34,0)),"")</f>
        <v>6</v>
      </c>
      <c r="C28" s="40">
        <f>IFERROR(INDEX(Daily_Capacity!$G$4:$G$34,MATCH(C4,Daily_Capacity!$A$4:$A$34,0)),"")</f>
        <v>6</v>
      </c>
      <c r="D28" s="40">
        <f>IFERROR(INDEX(Daily_Capacity!$G$4:$G$34,MATCH(D4,Daily_Capacity!$A$4:$A$34,0)),"")</f>
        <v>8</v>
      </c>
      <c r="E28" s="40">
        <f>IFERROR(INDEX(Daily_Capacity!$G$4:$G$34,MATCH(E4,Daily_Capacity!$A$4:$A$34,0)),"")</f>
        <v>6</v>
      </c>
      <c r="F28" s="40">
        <f>IFERROR(INDEX(Daily_Capacity!$G$4:$G$34,MATCH(F4,Daily_Capacity!$A$4:$A$34,0)),"")</f>
        <v>4</v>
      </c>
      <c r="G28" s="40">
        <f>IFERROR(INDEX(Daily_Capacity!$G$4:$G$34,MATCH(G4,Daily_Capacity!$A$4:$A$34,0)),"")</f>
        <v>4</v>
      </c>
    </row>
    <row r="29" spans="1:7">
      <c r="A29" s="40">
        <f>IFERROR(INDEX(Daily_Capacity!$G$4:$G$34,MATCH(A5,Daily_Capacity!$A$4:$A$34,0)),"")</f>
        <v>6</v>
      </c>
      <c r="B29" s="40">
        <f>IFERROR(INDEX(Daily_Capacity!$G$4:$G$34,MATCH(B5,Daily_Capacity!$A$4:$A$34,0)),"")</f>
        <v>6</v>
      </c>
      <c r="C29" s="40">
        <f>IFERROR(INDEX(Daily_Capacity!$G$4:$G$34,MATCH(C5,Daily_Capacity!$A$4:$A$34,0)),"")</f>
        <v>6</v>
      </c>
      <c r="D29" s="40">
        <f>IFERROR(INDEX(Daily_Capacity!$G$4:$G$34,MATCH(D5,Daily_Capacity!$A$4:$A$34,0)),"")</f>
        <v>5</v>
      </c>
      <c r="E29" s="40">
        <f>IFERROR(INDEX(Daily_Capacity!$G$4:$G$34,MATCH(E5,Daily_Capacity!$A$4:$A$34,0)),"")</f>
        <v>6</v>
      </c>
      <c r="F29" s="40">
        <f>IFERROR(INDEX(Daily_Capacity!$G$4:$G$34,MATCH(F5,Daily_Capacity!$A$4:$A$34,0)),"")</f>
        <v>4</v>
      </c>
      <c r="G29" s="40">
        <f>IFERROR(INDEX(Daily_Capacity!$G$4:$G$34,MATCH(G5,Daily_Capacity!$A$4:$A$34,0)),"")</f>
        <v>4</v>
      </c>
    </row>
    <row r="30" spans="1:7">
      <c r="A30" s="40" t="str">
        <f>IFERROR(INDEX(Daily_Capacity!$G$4:$G$34,MATCH(A6,Daily_Capacity!$A$4:$A$34,0)),"")</f>
        <v/>
      </c>
      <c r="B30" s="40" t="str">
        <f>IFERROR(INDEX(Daily_Capacity!$G$4:$G$34,MATCH(B6,Daily_Capacity!$A$4:$A$34,0)),"")</f>
        <v/>
      </c>
      <c r="C30" s="40" t="str">
        <f>IFERROR(INDEX(Daily_Capacity!$G$4:$G$34,MATCH(C6,Daily_Capacity!$A$4:$A$34,0)),"")</f>
        <v/>
      </c>
      <c r="D30" s="40" t="str">
        <f>IFERROR(INDEX(Daily_Capacity!$G$4:$G$34,MATCH(D6,Daily_Capacity!$A$4:$A$34,0)),"")</f>
        <v/>
      </c>
      <c r="E30" s="40" t="str">
        <f>IFERROR(INDEX(Daily_Capacity!$G$4:$G$34,MATCH(E6,Daily_Capacity!$A$4:$A$34,0)),"")</f>
        <v/>
      </c>
      <c r="F30" s="40" t="str">
        <f>IFERROR(INDEX(Daily_Capacity!$G$4:$G$34,MATCH(F6,Daily_Capacity!$A$4:$A$34,0)),"")</f>
        <v/>
      </c>
      <c r="G30" s="40" t="str">
        <f>IFERROR(INDEX(Daily_Capacity!$G$4:$G$34,MATCH(G6,Daily_Capacity!$A$4:$A$34,0)),"")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Calendar_View</vt:lpstr>
      <vt:lpstr>Daily_Capacity</vt:lpstr>
      <vt:lpstr>Bookings</vt:lpstr>
      <vt:lpstr>Lists</vt:lpstr>
      <vt:lpstr>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Kah Jun Tay</cp:lastModifiedBy>
  <dcterms:modified xsi:type="dcterms:W3CDTF">2026-04-01T13:05:45Z</dcterms:modified>
</cp:coreProperties>
</file>